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Calls" sheetId="2" state="visible" r:id="rId2"/>
    <sheet xmlns:r="http://schemas.openxmlformats.org/officeDocument/2006/relationships" name="Prices" sheetId="3" state="visible" r:id="rId3"/>
  </sheets>
  <definedNames>
    <definedName name="_xlnm._FilterDatabase" localSheetId="1" hidden="1">'Calls'!$A$1:$Q$60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00"/>
    <numFmt numFmtId="165" formatCode="&quot;$&quot;#,##0.0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F6368"/>
      <sz val="9"/>
    </font>
    <font>
      <b val="1"/>
      <sz val="16"/>
    </font>
    <font>
      <color rgb="005F6368"/>
      <sz val="9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E8590C"/>
      </patternFill>
    </fill>
    <fill>
      <patternFill patternType="solid">
        <fgColor rgb="00F3F4F6"/>
      </patternFill>
    </fill>
    <fill>
      <patternFill patternType="solid">
        <fgColor rgb="00FFE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left"/>
    </xf>
    <xf numFmtId="1" fontId="6" fillId="3" borderId="0" applyAlignment="1" pivotButton="0" quotePrefix="0" xfId="0">
      <alignment horizontal="left"/>
    </xf>
    <xf numFmtId="165" fontId="6" fillId="3" borderId="0" applyAlignment="1" pivotButton="0" quotePrefix="0" xfId="0">
      <alignment horizontal="left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4" borderId="0" pivotButton="0" quotePrefix="0" xfId="0"/>
    <xf numFmtId="165" fontId="2" fillId="0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cost by task (share)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'Cost estimate'!C9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estimate'!$A$10:$A$13</f>
            </numRef>
          </cat>
          <val>
            <numRef>
              <f>'Cost estimate'!$C$10:$C$13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"/>
          <min val="0"/>
        </scaling>
        <axPos val="l"/>
        <majorGridlines/>
        <majorTickMark val="none"/>
        <minorTickMark val="none"/>
        <crossAx val="10"/>
        <majorUnit val="0.2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Tokens by kind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'Cost estimate'!F9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estimate'!$E$10:$E$14</f>
            </numRef>
          </cat>
          <val>
            <numRef>
              <f>'Cost estimate'!$F$10:$F$14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running cost by scenario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 estimate'!E27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estimate'!$A$28:$A$31</f>
            </numRef>
          </cat>
          <val>
            <numRef>
              <f>'Cost estimate'!$E$28:$E$31</f>
            </numRef>
          </val>
        </ser>
        <ser>
          <idx val="1"/>
          <order val="1"/>
          <tx>
            <strRef>
              <f>'Cost estimate'!F27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estimate'!$A$28:$A$31</f>
            </numRef>
          </cat>
          <val>
            <numRef>
              <f>'Cost estimate'!$F$28:$F$31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cost per call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'Calls'!Q1</f>
            </strRef>
          </tx>
          <spPr>
            <a:ln xmlns:a="http://schemas.openxmlformats.org/drawingml/2006/main">
              <a:prstDash val="solid"/>
            </a:ln>
          </spPr>
          <val>
            <numRef>
              <f>'Calls'!$Q$2:$Q$60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8" customWidth="1" min="3" max="3"/>
    <col width="40" customWidth="1" min="4" max="4"/>
    <col width="16" customWidth="1" min="5" max="5"/>
    <col width="16" customWidth="1" min="6" max="6"/>
  </cols>
  <sheetData>
    <row r="1">
      <c r="A1" s="1" t="inlineStr">
        <is>
          <t>QuickBite: AI cost per call and cost estimate</t>
        </is>
      </c>
    </row>
    <row r="2">
      <c r="A2" s="2" t="inlineStr">
        <is>
          <t>Source: QuickBite per-call AI usage meter (tokens Gemini reported per request), 59 real calls, 2026-10-07 to 2026-10-08. Live view: quickbite-5cde0-staging.web.app/ai-usage</t>
        </is>
      </c>
    </row>
    <row r="3">
      <c r="A3" s="2" t="inlineStr">
        <is>
          <t>Orange cells are assumptions you can change; everything else is calculated.</t>
        </is>
      </c>
    </row>
    <row r="5">
      <c r="A5" s="3" t="inlineStr">
        <is>
          <t>Real calls measured</t>
        </is>
      </c>
      <c r="B5" s="3" t="inlineStr">
        <is>
          <t>Average AI cost per call</t>
        </is>
      </c>
      <c r="C5" s="3" t="inlineStr">
        <is>
          <t>Median per call</t>
        </is>
      </c>
      <c r="D5" s="3" t="inlineStr">
        <is>
          <t>Total at paid prices</t>
        </is>
      </c>
      <c r="E5" s="3" t="inlineStr">
        <is>
          <t>Actually billed (free tier)</t>
        </is>
      </c>
    </row>
    <row r="6">
      <c r="A6" s="4">
        <f>COUNTA(Calls!B2:B60)</f>
        <v/>
      </c>
      <c r="B6" s="5">
        <f>AVERAGE(Calls!Q2:Q60)</f>
        <v/>
      </c>
      <c r="C6" s="5">
        <f>MEDIAN(Calls!Q2:Q60)</f>
        <v/>
      </c>
      <c r="D6" s="5">
        <f>SUM(Calls!Q2:Q60)</f>
        <v/>
      </c>
      <c r="E6" s="5" t="n">
        <v>0</v>
      </c>
    </row>
    <row r="8">
      <c r="A8" s="6" t="inlineStr">
        <is>
          <t>Where the AI cost goes</t>
        </is>
      </c>
      <c r="E8" s="6" t="inlineStr">
        <is>
          <t>Tokens by kind</t>
        </is>
      </c>
    </row>
    <row r="9">
      <c r="A9" s="7" t="inlineStr">
        <is>
          <t>Task</t>
        </is>
      </c>
      <c r="B9" s="7" t="inlineStr">
        <is>
          <t>Cost ($)</t>
        </is>
      </c>
      <c r="C9" s="7" t="inlineStr">
        <is>
          <t>Share</t>
        </is>
      </c>
      <c r="E9" s="7" t="inlineStr">
        <is>
          <t>Kind</t>
        </is>
      </c>
      <c r="F9" s="7" t="inlineStr">
        <is>
          <t>Tokens</t>
        </is>
      </c>
    </row>
    <row r="10">
      <c r="A10" t="inlineStr">
        <is>
          <t>Live call (Mia)</t>
        </is>
      </c>
      <c r="B10" s="8">
        <f>SUM(Calls!M2:M60)</f>
        <v/>
      </c>
      <c r="C10" s="9">
        <f>B10/$D$6</f>
        <v/>
      </c>
      <c r="E10" t="inlineStr">
        <is>
          <t>Text in</t>
        </is>
      </c>
      <c r="F10" s="10">
        <f>SUM(Calls!G2:G60)</f>
        <v/>
      </c>
    </row>
    <row r="11">
      <c r="A11" t="inlineStr">
        <is>
          <t>Photo vision</t>
        </is>
      </c>
      <c r="B11" s="8">
        <f>SUM(Calls!N2:N60)</f>
        <v/>
      </c>
      <c r="C11" s="9">
        <f>B11/$D$6</f>
        <v/>
      </c>
      <c r="E11" t="inlineStr">
        <is>
          <t>Audio in</t>
        </is>
      </c>
      <c r="F11" s="10">
        <f>SUM(Calls!H2:H60)</f>
        <v/>
      </c>
    </row>
    <row r="12">
      <c r="A12" t="inlineStr">
        <is>
          <t>Case summary</t>
        </is>
      </c>
      <c r="B12" s="8">
        <f>SUM(Calls!O2:O60)</f>
        <v/>
      </c>
      <c r="C12" s="9">
        <f>B12/$D$6</f>
        <v/>
      </c>
      <c r="E12" t="inlineStr">
        <is>
          <t>Camera in</t>
        </is>
      </c>
      <c r="F12" s="10">
        <f>SUM(Calls!I2:I60)</f>
        <v/>
      </c>
    </row>
    <row r="13">
      <c r="A13" t="inlineStr">
        <is>
          <t>Case linking</t>
        </is>
      </c>
      <c r="B13" s="8">
        <f>SUM(Calls!P2:P60)</f>
        <v/>
      </c>
      <c r="C13" s="9">
        <f>B13/$D$6</f>
        <v/>
      </c>
      <c r="E13" t="inlineStr">
        <is>
          <t>Text out</t>
        </is>
      </c>
      <c r="F13" s="10">
        <f>SUM(Calls!J2:J60)</f>
        <v/>
      </c>
    </row>
    <row r="14">
      <c r="E14" t="inlineStr">
        <is>
          <t>Voice out</t>
        </is>
      </c>
      <c r="F14" s="10">
        <f>SUM(Calls!K2:K60)</f>
        <v/>
      </c>
    </row>
    <row r="17">
      <c r="A17" s="6" t="inlineStr">
        <is>
          <t>Cost estimate (rough)</t>
        </is>
      </c>
    </row>
    <row r="18">
      <c r="A18" s="7" t="inlineStr">
        <is>
          <t>Item</t>
        </is>
      </c>
      <c r="B18" s="7" t="inlineStr">
        <is>
          <t>Low ($/month)</t>
        </is>
      </c>
      <c r="C18" s="7" t="inlineStr">
        <is>
          <t>High ($/month)</t>
        </is>
      </c>
      <c r="D18" s="7" t="inlineStr">
        <is>
          <t>Notes</t>
        </is>
      </c>
    </row>
    <row r="19">
      <c r="A19" t="inlineStr">
        <is>
          <t>1 · Prototype (done): infrastructure</t>
        </is>
      </c>
      <c r="B19" s="8" t="n">
        <v>0</v>
      </c>
      <c r="C19" s="8" t="n">
        <v>0</v>
      </c>
      <c r="D19" s="2" t="inlineStr">
        <is>
          <t>Firebase free tier, Gemini free key, OpenStreetMap/OSRM, Apps Script</t>
        </is>
      </c>
    </row>
    <row r="20">
      <c r="A20" t="inlineStr">
        <is>
          <t>2 · Scale-up: Firebase Blaze (Firestore + Hosting)</t>
        </is>
      </c>
      <c r="B20" s="11" t="n">
        <v>20</v>
      </c>
      <c r="C20" s="11" t="n">
        <v>40</v>
      </c>
      <c r="D20" s="2" t="inlineStr">
        <is>
          <t>assumption</t>
        </is>
      </c>
    </row>
    <row r="21">
      <c r="A21" t="inlineStr">
        <is>
          <t>2 · Scale-up: Cloud Run + ADK (server-side keys, agents)</t>
        </is>
      </c>
      <c r="B21" s="11" t="n">
        <v>15</v>
      </c>
      <c r="C21" s="11" t="n">
        <v>30</v>
      </c>
      <c r="D21" s="2" t="inlineStr">
        <is>
          <t>assumption</t>
        </is>
      </c>
    </row>
    <row r="22">
      <c r="A22" t="inlineStr">
        <is>
          <t>2 · Scale-up: Google Maps Platform (geocoding, places, routes)</t>
        </is>
      </c>
      <c r="B22" s="11" t="n">
        <v>20</v>
      </c>
      <c r="C22" s="11" t="n">
        <v>40</v>
      </c>
      <c r="D22" s="2" t="inlineStr">
        <is>
          <t>assumption; Maps has a monthly free credit</t>
        </is>
      </c>
    </row>
    <row r="23">
      <c r="A23" t="inlineStr">
        <is>
          <t>2 · Scale-up: TURN relay for video</t>
        </is>
      </c>
      <c r="B23" s="11" t="n">
        <v>5</v>
      </c>
      <c r="C23" s="11" t="n">
        <v>10</v>
      </c>
      <c r="D23" s="2" t="inlineStr">
        <is>
          <t>assumption</t>
        </is>
      </c>
    </row>
    <row r="24">
      <c r="A24" s="6" t="inlineStr">
        <is>
          <t>Fixed scale-up total (per month)</t>
        </is>
      </c>
      <c r="B24" s="12">
        <f>SUM(B20:B23)</f>
        <v/>
      </c>
      <c r="C24" s="12">
        <f>SUM(C20:C23)</f>
        <v/>
      </c>
    </row>
    <row r="26">
      <c r="A26" s="6" t="inlineStr">
        <is>
          <t>3 · Running cost: AI per call × call volume (rough estimate)</t>
        </is>
      </c>
    </row>
    <row r="27">
      <c r="A27" s="7" t="inlineStr">
        <is>
          <t>Scenario</t>
        </is>
      </c>
      <c r="B27" s="7" t="inlineStr">
        <is>
          <t>Calls per day</t>
        </is>
      </c>
      <c r="C27" s="7" t="inlineStr">
        <is>
          <t>Calls per month</t>
        </is>
      </c>
      <c r="D27" s="7" t="inlineStr">
        <is>
          <t>AI per month ($)</t>
        </is>
      </c>
      <c r="E27" s="7" t="inlineStr">
        <is>
          <t>Total low ($)</t>
        </is>
      </c>
      <c r="F27" s="7" t="inlineStr">
        <is>
          <t>Total high ($)</t>
        </is>
      </c>
    </row>
    <row r="28">
      <c r="A28" t="inlineStr">
        <is>
          <t>Small town</t>
        </is>
      </c>
      <c r="B28" s="13" t="n">
        <v>3</v>
      </c>
      <c r="C28" s="10">
        <f>B28*30</f>
        <v/>
      </c>
      <c r="D28" s="8">
        <f>C28*$B$6</f>
        <v/>
      </c>
      <c r="E28" s="8">
        <f>D28+$B$24</f>
        <v/>
      </c>
      <c r="F28" s="8">
        <f>D28+$C$24</f>
        <v/>
      </c>
    </row>
    <row r="29">
      <c r="A29" t="inlineStr">
        <is>
          <t>District pilot</t>
        </is>
      </c>
      <c r="B29" s="13" t="n">
        <v>10</v>
      </c>
      <c r="C29" s="10">
        <f>B29*30</f>
        <v/>
      </c>
      <c r="D29" s="8">
        <f>C29*$B$6</f>
        <v/>
      </c>
      <c r="E29" s="8">
        <f>D29+$B$24</f>
        <v/>
      </c>
      <c r="F29" s="8">
        <f>D29+$C$24</f>
        <v/>
      </c>
    </row>
    <row r="30">
      <c r="A30" t="inlineStr">
        <is>
          <t>Large city</t>
        </is>
      </c>
      <c r="B30" s="13" t="n">
        <v>50</v>
      </c>
      <c r="C30" s="10">
        <f>B30*30</f>
        <v/>
      </c>
      <c r="D30" s="8">
        <f>C30*$B$6</f>
        <v/>
      </c>
      <c r="E30" s="8">
        <f>D30+$B$24</f>
        <v/>
      </c>
      <c r="F30" s="8">
        <f>D30+$C$24</f>
        <v/>
      </c>
    </row>
    <row r="31">
      <c r="A31" t="inlineStr">
        <is>
          <t>State-wide</t>
        </is>
      </c>
      <c r="B31" s="13" t="n">
        <v>300</v>
      </c>
      <c r="C31" s="10">
        <f>B31*30</f>
        <v/>
      </c>
      <c r="D31" s="8">
        <f>C31*$B$6</f>
        <v/>
      </c>
      <c r="E31" s="8">
        <f>D31+$B$24</f>
        <v/>
      </c>
      <c r="F31" s="8">
        <f>D31+$C$24</f>
        <v/>
      </c>
    </row>
    <row r="33">
      <c r="A33" s="2" t="inlineStr">
        <is>
          <t>No new staff: incidents go to existing 112 / helpline responders, so the only new running cost is AI and hosting.</t>
        </is>
      </c>
    </row>
    <row r="34">
      <c r="A34" s="2" t="inlineStr">
        <is>
          <t>Rough estimates: scale-up prices are assumptions, not quotes. Per-call AI cost is measured at Gemini paid-tier prices (see Prices).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7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3" customWidth="1" min="12" max="12"/>
    <col width="14" customWidth="1" min="13" max="13"/>
    <col width="14" customWidth="1" min="14" max="14"/>
    <col width="14" customWidth="1" min="15" max="15"/>
    <col width="14" customWidth="1" min="16" max="16"/>
    <col width="13" customWidth="1" min="17" max="17"/>
  </cols>
  <sheetData>
    <row r="1">
      <c r="A1" s="7" t="inlineStr">
        <is>
          <t>#</t>
        </is>
      </c>
      <c r="B1" s="7" t="inlineStr">
        <is>
          <t>Incident</t>
        </is>
      </c>
      <c r="C1" s="7" t="inlineStr">
        <is>
          <t>Started (UTC)</t>
        </is>
      </c>
      <c r="D1" s="7" t="inlineStr">
        <is>
          <t>Channel</t>
        </is>
      </c>
      <c r="E1" s="7" t="inlineStr">
        <is>
          <t>Severity</t>
        </is>
      </c>
      <c r="F1" s="7" t="inlineStr">
        <is>
          <t>Requests</t>
        </is>
      </c>
      <c r="G1" s="7" t="inlineStr">
        <is>
          <t>Text in</t>
        </is>
      </c>
      <c r="H1" s="7" t="inlineStr">
        <is>
          <t>Audio in</t>
        </is>
      </c>
      <c r="I1" s="7" t="inlineStr">
        <is>
          <t>Camera in</t>
        </is>
      </c>
      <c r="J1" s="7" t="inlineStr">
        <is>
          <t>Text out</t>
        </is>
      </c>
      <c r="K1" s="7" t="inlineStr">
        <is>
          <t>Voice out</t>
        </is>
      </c>
      <c r="L1" s="7" t="inlineStr">
        <is>
          <t>Total tokens</t>
        </is>
      </c>
      <c r="M1" s="7" t="inlineStr">
        <is>
          <t>Live call (Mia) ($)</t>
        </is>
      </c>
      <c r="N1" s="7" t="inlineStr">
        <is>
          <t>Photo vision ($)</t>
        </is>
      </c>
      <c r="O1" s="7" t="inlineStr">
        <is>
          <t>Case summary ($)</t>
        </is>
      </c>
      <c r="P1" s="7" t="inlineStr">
        <is>
          <t>Case linking ($)</t>
        </is>
      </c>
      <c r="Q1" s="7" t="inlineStr">
        <is>
          <t>Call cost ($)</t>
        </is>
      </c>
    </row>
    <row r="2">
      <c r="A2" t="n">
        <v>1</v>
      </c>
      <c r="B2" t="inlineStr">
        <is>
          <t>INC-MUXPIC7Z</t>
        </is>
      </c>
      <c r="C2" t="inlineStr">
        <is>
          <t>2026-10-07 06:08</t>
        </is>
      </c>
      <c r="D2" t="inlineStr">
        <is>
          <t>live-call</t>
        </is>
      </c>
      <c r="E2" t="inlineStr">
        <is>
          <t>high</t>
        </is>
      </c>
      <c r="F2" s="10" t="n">
        <v>41</v>
      </c>
      <c r="G2" s="10" t="n">
        <v>183814</v>
      </c>
      <c r="H2" s="10" t="n">
        <v>38623</v>
      </c>
      <c r="I2" s="10" t="n">
        <v>25270</v>
      </c>
      <c r="J2" s="10" t="n">
        <v>593</v>
      </c>
      <c r="K2" s="10" t="n">
        <v>2851</v>
      </c>
      <c r="L2" s="10">
        <f>SUM(G2:K2)</f>
        <v/>
      </c>
      <c r="M2" s="14" t="n">
        <v>0.300949</v>
      </c>
      <c r="N2" s="14" t="n">
        <v>0.005788</v>
      </c>
      <c r="O2" s="14" t="n">
        <v>0.000794</v>
      </c>
      <c r="P2" s="14" t="n">
        <v>0.000327</v>
      </c>
      <c r="Q2" s="14">
        <f>SUM(M2:P2)</f>
        <v/>
      </c>
    </row>
    <row r="3">
      <c r="A3" t="n">
        <v>2</v>
      </c>
      <c r="B3" t="inlineStr">
        <is>
          <t>INC-MUXPQC6D</t>
        </is>
      </c>
      <c r="C3" t="inlineStr">
        <is>
          <t>2026-10-07 06:14</t>
        </is>
      </c>
      <c r="D3" t="inlineStr">
        <is>
          <t>live-call</t>
        </is>
      </c>
      <c r="E3" t="inlineStr">
        <is>
          <t>high</t>
        </is>
      </c>
      <c r="F3" s="10" t="n">
        <v>41</v>
      </c>
      <c r="G3" s="10" t="n">
        <v>173967</v>
      </c>
      <c r="H3" s="10" t="n">
        <v>33939</v>
      </c>
      <c r="I3" s="10" t="n">
        <v>26068</v>
      </c>
      <c r="J3" s="10" t="n">
        <v>673</v>
      </c>
      <c r="K3" s="10" t="n">
        <v>2825</v>
      </c>
      <c r="L3" s="10">
        <f>SUM(G3:K3)</f>
        <v/>
      </c>
      <c r="M3" s="14" t="n">
        <v>0.278547</v>
      </c>
      <c r="N3" s="14" t="n">
        <v>0.006075</v>
      </c>
      <c r="O3" s="14" t="n">
        <v>0.000866</v>
      </c>
      <c r="P3" s="14" t="n">
        <v>0.000334</v>
      </c>
      <c r="Q3" s="14">
        <f>SUM(M3:P3)</f>
        <v/>
      </c>
    </row>
    <row r="4">
      <c r="A4" t="n">
        <v>3</v>
      </c>
      <c r="B4" t="inlineStr">
        <is>
          <t>INC-MUXPXKUJ</t>
        </is>
      </c>
      <c r="C4" t="inlineStr">
        <is>
          <t>2026-10-07 06:20</t>
        </is>
      </c>
      <c r="D4" t="inlineStr">
        <is>
          <t>live-call</t>
        </is>
      </c>
      <c r="E4" t="inlineStr">
        <is>
          <t>high</t>
        </is>
      </c>
      <c r="F4" s="10" t="n">
        <v>37</v>
      </c>
      <c r="G4" s="10" t="n">
        <v>160393</v>
      </c>
      <c r="H4" s="10" t="n">
        <v>29929</v>
      </c>
      <c r="I4" s="10" t="n">
        <v>50029</v>
      </c>
      <c r="J4" s="10" t="n">
        <v>474</v>
      </c>
      <c r="K4" s="10" t="n">
        <v>2434</v>
      </c>
      <c r="L4" s="10">
        <f>SUM(G4:K4)</f>
        <v/>
      </c>
      <c r="M4" s="14" t="n">
        <v>0.330471</v>
      </c>
      <c r="N4" s="14" t="n">
        <v>0.005452</v>
      </c>
      <c r="O4" s="14" t="n">
        <v>0.000778</v>
      </c>
      <c r="P4" s="14" t="n">
        <v>0</v>
      </c>
      <c r="Q4" s="14">
        <f>SUM(M4:P4)</f>
        <v/>
      </c>
    </row>
    <row r="5">
      <c r="A5" t="n">
        <v>4</v>
      </c>
      <c r="B5" t="inlineStr">
        <is>
          <t>INC-MUXQ41BK</t>
        </is>
      </c>
      <c r="C5" t="inlineStr">
        <is>
          <t>2026-10-07 06:25</t>
        </is>
      </c>
      <c r="D5" t="inlineStr">
        <is>
          <t>live-call</t>
        </is>
      </c>
      <c r="E5" t="inlineStr">
        <is>
          <t>high</t>
        </is>
      </c>
      <c r="F5" s="10" t="n">
        <v>39</v>
      </c>
      <c r="G5" s="10" t="n">
        <v>165747</v>
      </c>
      <c r="H5" s="10" t="n">
        <v>33877</v>
      </c>
      <c r="I5" s="10" t="n">
        <v>36848</v>
      </c>
      <c r="J5" s="10" t="n">
        <v>546</v>
      </c>
      <c r="K5" s="10" t="n">
        <v>2767</v>
      </c>
      <c r="L5" s="10">
        <f>SUM(G5:K5)</f>
        <v/>
      </c>
      <c r="M5" s="14" t="n">
        <v>0.307073</v>
      </c>
      <c r="N5" s="14" t="n">
        <v>0.005758</v>
      </c>
      <c r="O5" s="14" t="n">
        <v>0.000826</v>
      </c>
      <c r="P5" s="14" t="n">
        <v>0.000211</v>
      </c>
      <c r="Q5" s="14">
        <f>SUM(M5:P5)</f>
        <v/>
      </c>
    </row>
    <row r="6">
      <c r="A6" t="n">
        <v>5</v>
      </c>
      <c r="B6" t="inlineStr">
        <is>
          <t>INC-MUXQAL9K</t>
        </is>
      </c>
      <c r="C6" t="inlineStr">
        <is>
          <t>2026-10-07 06:30</t>
        </is>
      </c>
      <c r="D6" t="inlineStr">
        <is>
          <t>live-call</t>
        </is>
      </c>
      <c r="E6" t="inlineStr">
        <is>
          <t>low</t>
        </is>
      </c>
      <c r="F6" s="10" t="n">
        <v>9</v>
      </c>
      <c r="G6" s="10" t="n">
        <v>24965</v>
      </c>
      <c r="H6" s="10" t="n">
        <v>1444</v>
      </c>
      <c r="I6" s="10" t="n">
        <v>5852</v>
      </c>
      <c r="J6" s="10" t="n">
        <v>246</v>
      </c>
      <c r="K6" s="10" t="n">
        <v>923</v>
      </c>
      <c r="L6" s="10">
        <f>SUM(G6:K6)</f>
        <v/>
      </c>
      <c r="M6" s="14" t="n">
        <v>0.034917</v>
      </c>
      <c r="N6" s="14" t="n">
        <v>0.00152</v>
      </c>
      <c r="O6" s="14" t="n">
        <v>0.000682</v>
      </c>
      <c r="P6" s="14" t="n">
        <v>0</v>
      </c>
      <c r="Q6" s="14">
        <f>SUM(M6:P6)</f>
        <v/>
      </c>
    </row>
    <row r="7">
      <c r="A7" t="n">
        <v>6</v>
      </c>
      <c r="B7" t="inlineStr">
        <is>
          <t>INC-MUXQDJG6</t>
        </is>
      </c>
      <c r="C7" t="inlineStr">
        <is>
          <t>2026-10-07 06:32</t>
        </is>
      </c>
      <c r="D7" t="inlineStr">
        <is>
          <t>live-call</t>
        </is>
      </c>
      <c r="E7" t="inlineStr">
        <is>
          <t>high</t>
        </is>
      </c>
      <c r="F7" s="10" t="n">
        <v>48</v>
      </c>
      <c r="G7" s="10" t="n">
        <v>236363</v>
      </c>
      <c r="H7" s="10" t="n">
        <v>60250</v>
      </c>
      <c r="I7" s="10" t="n">
        <v>52969</v>
      </c>
      <c r="J7" s="10" t="n">
        <v>611</v>
      </c>
      <c r="K7" s="10" t="n">
        <v>3186</v>
      </c>
      <c r="L7" s="10">
        <f>SUM(G7:K7)</f>
        <v/>
      </c>
      <c r="M7" s="14" t="n">
        <v>0.489048</v>
      </c>
      <c r="N7" s="14" t="n">
        <v>0.006075</v>
      </c>
      <c r="O7" s="14" t="n">
        <v>0.000841</v>
      </c>
      <c r="P7" s="14" t="n">
        <v>0.000338</v>
      </c>
      <c r="Q7" s="14">
        <f>SUM(M7:P7)</f>
        <v/>
      </c>
    </row>
    <row r="8">
      <c r="A8" t="n">
        <v>7</v>
      </c>
      <c r="B8" t="inlineStr">
        <is>
          <t>INC-MUXQM5BB</t>
        </is>
      </c>
      <c r="C8" t="inlineStr">
        <is>
          <t>2026-10-07 06:39</t>
        </is>
      </c>
      <c r="D8" t="inlineStr">
        <is>
          <t>live-call</t>
        </is>
      </c>
      <c r="E8" t="inlineStr">
        <is>
          <t>high</t>
        </is>
      </c>
      <c r="F8" s="10" t="n">
        <v>41</v>
      </c>
      <c r="G8" s="10" t="n">
        <v>232650</v>
      </c>
      <c r="H8" s="10" t="n">
        <v>43486</v>
      </c>
      <c r="I8" s="10" t="n">
        <v>58744</v>
      </c>
      <c r="J8" s="10" t="n">
        <v>757</v>
      </c>
      <c r="K8" s="10" t="n">
        <v>2787</v>
      </c>
      <c r="L8" s="10">
        <f>SUM(G8:K8)</f>
        <v/>
      </c>
      <c r="M8" s="14" t="n">
        <v>0.465645</v>
      </c>
      <c r="N8" s="14" t="n">
        <v>0.004543</v>
      </c>
      <c r="O8" s="14" t="n">
        <v>0.000883</v>
      </c>
      <c r="P8" s="14" t="n">
        <v>0.000347</v>
      </c>
      <c r="Q8" s="14">
        <f>SUM(M8:P8)</f>
        <v/>
      </c>
    </row>
    <row r="9">
      <c r="A9" t="n">
        <v>8</v>
      </c>
      <c r="B9" t="inlineStr">
        <is>
          <t>INC-MUXQR6PX</t>
        </is>
      </c>
      <c r="C9" t="inlineStr">
        <is>
          <t>2026-10-07 06:43</t>
        </is>
      </c>
      <c r="D9" t="inlineStr">
        <is>
          <t>live-call</t>
        </is>
      </c>
      <c r="E9" t="inlineStr">
        <is>
          <t>high</t>
        </is>
      </c>
      <c r="F9" s="10" t="n">
        <v>49</v>
      </c>
      <c r="G9" s="10" t="n">
        <v>232684</v>
      </c>
      <c r="H9" s="10" t="n">
        <v>63246</v>
      </c>
      <c r="I9" s="10" t="n">
        <v>102032</v>
      </c>
      <c r="J9" s="10" t="n">
        <v>608</v>
      </c>
      <c r="K9" s="10" t="n">
        <v>3669</v>
      </c>
      <c r="L9" s="10">
        <f>SUM(G9:K9)</f>
        <v/>
      </c>
      <c r="M9" s="14" t="n">
        <v>0.641813</v>
      </c>
      <c r="N9" s="14" t="n">
        <v>0.006673</v>
      </c>
      <c r="O9" s="14" t="n">
        <v>0.000871</v>
      </c>
      <c r="P9" s="14" t="n">
        <v>0.00027</v>
      </c>
      <c r="Q9" s="14">
        <f>SUM(M9:P9)</f>
        <v/>
      </c>
    </row>
    <row r="10">
      <c r="A10" t="n">
        <v>9</v>
      </c>
      <c r="B10" t="inlineStr">
        <is>
          <t>INC-MUXWFXSM</t>
        </is>
      </c>
      <c r="C10" t="inlineStr">
        <is>
          <t>2026-10-07 09:22</t>
        </is>
      </c>
      <c r="D10" t="inlineStr">
        <is>
          <t>live-call</t>
        </is>
      </c>
      <c r="E10" t="inlineStr">
        <is>
          <t>high</t>
        </is>
      </c>
      <c r="F10" s="10" t="n">
        <v>16</v>
      </c>
      <c r="G10" s="10" t="n">
        <v>84163</v>
      </c>
      <c r="H10" s="10" t="n">
        <v>11347</v>
      </c>
      <c r="I10" s="10" t="n">
        <v>13167</v>
      </c>
      <c r="J10" s="10" t="n">
        <v>295</v>
      </c>
      <c r="K10" s="10" t="n">
        <v>1624</v>
      </c>
      <c r="L10" s="10">
        <f>SUM(G10:K10)</f>
        <v/>
      </c>
      <c r="M10" s="14" t="n">
        <v>0.139523</v>
      </c>
      <c r="N10" s="14" t="n">
        <v>0.00152</v>
      </c>
      <c r="O10" s="14" t="n">
        <v>0.000709</v>
      </c>
      <c r="P10" s="14" t="n">
        <v>0</v>
      </c>
      <c r="Q10" s="14">
        <f>SUM(M10:P10)</f>
        <v/>
      </c>
    </row>
    <row r="11">
      <c r="A11" t="n">
        <v>10</v>
      </c>
      <c r="B11" t="inlineStr">
        <is>
          <t>INC-MUXWLAOF</t>
        </is>
      </c>
      <c r="C11" t="inlineStr">
        <is>
          <t>2026-10-07 09:26</t>
        </is>
      </c>
      <c r="D11" t="inlineStr">
        <is>
          <t>live-call</t>
        </is>
      </c>
      <c r="E11" t="inlineStr">
        <is>
          <t>low</t>
        </is>
      </c>
      <c r="F11" s="10" t="n">
        <v>3</v>
      </c>
      <c r="G11" s="10" t="n">
        <v>8471</v>
      </c>
      <c r="H11" s="10" t="n">
        <v>168</v>
      </c>
      <c r="I11" s="10" t="n">
        <v>1064</v>
      </c>
      <c r="J11" s="10" t="n">
        <v>295</v>
      </c>
      <c r="K11" s="10" t="n">
        <v>310</v>
      </c>
      <c r="L11" s="10">
        <f>SUM(G11:K11)</f>
        <v/>
      </c>
      <c r="M11" s="14" t="n">
        <v>0.010125</v>
      </c>
      <c r="N11" s="14" t="n">
        <v>0.000442</v>
      </c>
      <c r="O11" s="14" t="n">
        <v>0.000638</v>
      </c>
      <c r="P11" s="14" t="n">
        <v>0</v>
      </c>
      <c r="Q11" s="14">
        <f>SUM(M11:P11)</f>
        <v/>
      </c>
    </row>
    <row r="12">
      <c r="A12" t="n">
        <v>11</v>
      </c>
      <c r="B12" t="inlineStr">
        <is>
          <t>INC-MUXWO98U</t>
        </is>
      </c>
      <c r="C12" t="inlineStr">
        <is>
          <t>2026-10-07 09:29</t>
        </is>
      </c>
      <c r="D12" t="inlineStr">
        <is>
          <t>live-call</t>
        </is>
      </c>
      <c r="E12" t="inlineStr">
        <is>
          <t>low</t>
        </is>
      </c>
      <c r="F12" s="10" t="n">
        <v>3</v>
      </c>
      <c r="G12" s="10" t="n">
        <v>8418</v>
      </c>
      <c r="H12" s="10" t="n">
        <v>168</v>
      </c>
      <c r="I12" s="10" t="n">
        <v>1064</v>
      </c>
      <c r="J12" s="10" t="n">
        <v>255</v>
      </c>
      <c r="K12" s="10" t="n">
        <v>308</v>
      </c>
      <c r="L12" s="10">
        <f>SUM(G12:K12)</f>
        <v/>
      </c>
      <c r="M12" s="14" t="n">
        <v>0.010101</v>
      </c>
      <c r="N12" s="14" t="n">
        <v>0.000382</v>
      </c>
      <c r="O12" s="14" t="n">
        <v>0.000622</v>
      </c>
      <c r="P12" s="14" t="n">
        <v>0</v>
      </c>
      <c r="Q12" s="14">
        <f>SUM(M12:P12)</f>
        <v/>
      </c>
    </row>
    <row r="13">
      <c r="A13" t="n">
        <v>12</v>
      </c>
      <c r="B13" t="inlineStr">
        <is>
          <t>INC-MUXWSFB8</t>
        </is>
      </c>
      <c r="C13" t="inlineStr">
        <is>
          <t>2026-10-07 09:32</t>
        </is>
      </c>
      <c r="D13" t="inlineStr">
        <is>
          <t>live-call</t>
        </is>
      </c>
      <c r="E13" t="inlineStr">
        <is>
          <t>high</t>
        </is>
      </c>
      <c r="F13" s="10" t="n">
        <v>25</v>
      </c>
      <c r="G13" s="10" t="n">
        <v>167352</v>
      </c>
      <c r="H13" s="10" t="n">
        <v>27760</v>
      </c>
      <c r="I13" s="10" t="n">
        <v>110754</v>
      </c>
      <c r="J13" s="10" t="n">
        <v>837</v>
      </c>
      <c r="K13" s="10" t="n">
        <v>1901</v>
      </c>
      <c r="L13" s="10">
        <f>SUM(G13:K13)</f>
        <v/>
      </c>
      <c r="M13" s="14" t="n">
        <v>0.547246</v>
      </c>
      <c r="N13" s="14" t="n">
        <v>0.002011</v>
      </c>
      <c r="O13" s="14" t="n">
        <v>0.000785</v>
      </c>
      <c r="P13" s="14" t="n">
        <v>0.000262</v>
      </c>
      <c r="Q13" s="14">
        <f>SUM(M13:P13)</f>
        <v/>
      </c>
    </row>
    <row r="14">
      <c r="A14" t="n">
        <v>13</v>
      </c>
      <c r="B14" t="inlineStr">
        <is>
          <t>INC-MUXWZ6NK</t>
        </is>
      </c>
      <c r="C14" t="inlineStr">
        <is>
          <t>2026-10-07 09:37</t>
        </is>
      </c>
      <c r="D14" t="inlineStr">
        <is>
          <t>live-call</t>
        </is>
      </c>
      <c r="E14" t="inlineStr">
        <is>
          <t>low</t>
        </is>
      </c>
      <c r="F14" s="10" t="n">
        <v>3</v>
      </c>
      <c r="G14" s="10" t="n">
        <v>8421</v>
      </c>
      <c r="H14" s="10" t="n">
        <v>168</v>
      </c>
      <c r="I14" s="10" t="n">
        <v>1064</v>
      </c>
      <c r="J14" s="10" t="n">
        <v>271</v>
      </c>
      <c r="K14" s="10" t="n">
        <v>296</v>
      </c>
      <c r="L14" s="10">
        <f>SUM(G14:K14)</f>
        <v/>
      </c>
      <c r="M14" s="14" t="n">
        <v>0.009957000000000001</v>
      </c>
      <c r="N14" s="14" t="n">
        <v>0.000382</v>
      </c>
      <c r="O14" s="14" t="n">
        <v>0.000663</v>
      </c>
      <c r="P14" s="14" t="n">
        <v>0</v>
      </c>
      <c r="Q14" s="14">
        <f>SUM(M14:P14)</f>
        <v/>
      </c>
    </row>
    <row r="15">
      <c r="A15" t="n">
        <v>14</v>
      </c>
      <c r="B15" t="inlineStr">
        <is>
          <t>INC-MUXX27PW</t>
        </is>
      </c>
      <c r="C15" t="inlineStr">
        <is>
          <t>2026-10-07 09:39</t>
        </is>
      </c>
      <c r="D15" t="inlineStr">
        <is>
          <t>live-call</t>
        </is>
      </c>
      <c r="E15" t="inlineStr">
        <is>
          <t>low</t>
        </is>
      </c>
      <c r="F15" s="10" t="n">
        <v>3</v>
      </c>
      <c r="G15" s="10" t="n">
        <v>8413</v>
      </c>
      <c r="H15" s="10" t="n">
        <v>168</v>
      </c>
      <c r="I15" s="10" t="n">
        <v>1064</v>
      </c>
      <c r="J15" s="10" t="n">
        <v>267</v>
      </c>
      <c r="K15" s="10" t="n">
        <v>300</v>
      </c>
      <c r="L15" s="10">
        <f>SUM(G15:K15)</f>
        <v/>
      </c>
      <c r="M15" s="14" t="n">
        <v>0.010005</v>
      </c>
      <c r="N15" s="14" t="n">
        <v>0.000388</v>
      </c>
      <c r="O15" s="14" t="n">
        <v>0.0006400000000000001</v>
      </c>
      <c r="P15" s="14" t="n">
        <v>0</v>
      </c>
      <c r="Q15" s="14">
        <f>SUM(M15:P15)</f>
        <v/>
      </c>
    </row>
    <row r="16">
      <c r="A16" t="n">
        <v>15</v>
      </c>
      <c r="B16" t="inlineStr">
        <is>
          <t>INC-MUXX4FCY</t>
        </is>
      </c>
      <c r="C16" t="inlineStr">
        <is>
          <t>2026-10-07 09:41</t>
        </is>
      </c>
      <c r="D16" t="inlineStr">
        <is>
          <t>live-call</t>
        </is>
      </c>
      <c r="E16" t="inlineStr">
        <is>
          <t>high</t>
        </is>
      </c>
      <c r="F16" s="10" t="n">
        <v>11</v>
      </c>
      <c r="G16" s="10" t="n">
        <v>59424</v>
      </c>
      <c r="H16" s="10" t="n">
        <v>5326</v>
      </c>
      <c r="I16" s="10" t="n">
        <v>22337</v>
      </c>
      <c r="J16" s="10" t="n">
        <v>430</v>
      </c>
      <c r="K16" s="10" t="n">
        <v>1041</v>
      </c>
      <c r="L16" s="10">
        <f>SUM(G16:K16)</f>
        <v/>
      </c>
      <c r="M16" s="14" t="n">
        <v>0.1327</v>
      </c>
      <c r="N16" s="14" t="n">
        <v>0.000826</v>
      </c>
      <c r="O16" s="14" t="n">
        <v>0.000715</v>
      </c>
      <c r="P16" s="14" t="n">
        <v>0.000198</v>
      </c>
      <c r="Q16" s="14">
        <f>SUM(M16:P16)</f>
        <v/>
      </c>
    </row>
    <row r="17">
      <c r="A17" t="n">
        <v>16</v>
      </c>
      <c r="B17" t="inlineStr">
        <is>
          <t>INC-MUXX7G18</t>
        </is>
      </c>
      <c r="C17" t="inlineStr">
        <is>
          <t>2026-10-07 09:43</t>
        </is>
      </c>
      <c r="D17" t="inlineStr">
        <is>
          <t>live-call</t>
        </is>
      </c>
      <c r="E17" t="inlineStr">
        <is>
          <t>high</t>
        </is>
      </c>
      <c r="F17" s="10" t="n">
        <v>40</v>
      </c>
      <c r="G17" s="10" t="n">
        <v>234002</v>
      </c>
      <c r="H17" s="10" t="n">
        <v>45185</v>
      </c>
      <c r="I17" s="10" t="n">
        <v>142947</v>
      </c>
      <c r="J17" s="10" t="n">
        <v>926</v>
      </c>
      <c r="K17" s="10" t="n">
        <v>2871</v>
      </c>
      <c r="L17" s="10">
        <f>SUM(G17:K17)</f>
        <v/>
      </c>
      <c r="M17" s="14" t="n">
        <v>0.724949</v>
      </c>
      <c r="N17" s="14" t="n">
        <v>0.004994</v>
      </c>
      <c r="O17" s="14" t="n">
        <v>0.000875</v>
      </c>
      <c r="P17" s="14" t="n">
        <v>0.000284</v>
      </c>
      <c r="Q17" s="14">
        <f>SUM(M17:P17)</f>
        <v/>
      </c>
    </row>
    <row r="18">
      <c r="A18" t="n">
        <v>17</v>
      </c>
      <c r="B18" t="inlineStr">
        <is>
          <t>INC-MUXXKSLT</t>
        </is>
      </c>
      <c r="C18" t="inlineStr">
        <is>
          <t>2026-10-07 09:54</t>
        </is>
      </c>
      <c r="D18" t="inlineStr">
        <is>
          <t>live-call</t>
        </is>
      </c>
      <c r="E18" t="inlineStr">
        <is>
          <t>high</t>
        </is>
      </c>
      <c r="F18" s="10" t="n">
        <v>34</v>
      </c>
      <c r="G18" s="10" t="n">
        <v>162465</v>
      </c>
      <c r="H18" s="10" t="n">
        <v>30075</v>
      </c>
      <c r="I18" s="10" t="n">
        <v>52752</v>
      </c>
      <c r="J18" s="10" t="n">
        <v>730</v>
      </c>
      <c r="K18" s="10" t="n">
        <v>2631</v>
      </c>
      <c r="L18" s="10">
        <f>SUM(G18:K18)</f>
        <v/>
      </c>
      <c r="M18" s="14" t="n">
        <v>0.352178</v>
      </c>
      <c r="N18" s="14" t="n">
        <v>0.004826</v>
      </c>
      <c r="O18" s="14" t="n">
        <v>0.000826</v>
      </c>
      <c r="P18" s="14" t="n">
        <v>0.000308</v>
      </c>
      <c r="Q18" s="14">
        <f>SUM(M18:P18)</f>
        <v/>
      </c>
    </row>
    <row r="19">
      <c r="A19" t="n">
        <v>18</v>
      </c>
      <c r="B19" t="inlineStr">
        <is>
          <t>INC-MUXXR8TP</t>
        </is>
      </c>
      <c r="C19" t="inlineStr">
        <is>
          <t>2026-10-07 09:59</t>
        </is>
      </c>
      <c r="D19" t="inlineStr">
        <is>
          <t>live-call</t>
        </is>
      </c>
      <c r="E19" t="inlineStr">
        <is>
          <t>high</t>
        </is>
      </c>
      <c r="F19" s="10" t="n">
        <v>34</v>
      </c>
      <c r="G19" s="10" t="n">
        <v>173887</v>
      </c>
      <c r="H19" s="10" t="n">
        <v>20974</v>
      </c>
      <c r="I19" s="10" t="n">
        <v>59178</v>
      </c>
      <c r="J19" s="10" t="n">
        <v>916</v>
      </c>
      <c r="K19" s="10" t="n">
        <v>2589</v>
      </c>
      <c r="L19" s="10">
        <f>SUM(G19:K19)</f>
        <v/>
      </c>
      <c r="M19" s="14" t="n">
        <v>0.339214</v>
      </c>
      <c r="N19" s="14" t="n">
        <v>0.006085</v>
      </c>
      <c r="O19" s="14" t="n">
        <v>0.002059</v>
      </c>
      <c r="P19" s="14" t="n">
        <v>0.000237</v>
      </c>
      <c r="Q19" s="14">
        <f>SUM(M19:P19)</f>
        <v/>
      </c>
    </row>
    <row r="20">
      <c r="A20" t="n">
        <v>19</v>
      </c>
      <c r="B20" t="inlineStr">
        <is>
          <t>INC-MUXXWTHC</t>
        </is>
      </c>
      <c r="C20" t="inlineStr">
        <is>
          <t>2026-10-07 10:03</t>
        </is>
      </c>
      <c r="D20" t="inlineStr">
        <is>
          <t>live-call</t>
        </is>
      </c>
      <c r="E20" t="inlineStr">
        <is>
          <t>high</t>
        </is>
      </c>
      <c r="F20" s="10" t="n">
        <v>31</v>
      </c>
      <c r="G20" s="10" t="n">
        <v>137095</v>
      </c>
      <c r="H20" s="10" t="n">
        <v>22769</v>
      </c>
      <c r="I20" s="10" t="n">
        <v>45094</v>
      </c>
      <c r="J20" s="10" t="n">
        <v>823</v>
      </c>
      <c r="K20" s="10" t="n">
        <v>1876</v>
      </c>
      <c r="L20" s="10">
        <f>SUM(G20:K20)</f>
        <v/>
      </c>
      <c r="M20" s="14" t="n">
        <v>0.282577</v>
      </c>
      <c r="N20" s="14" t="n">
        <v>0.004714</v>
      </c>
      <c r="O20" s="14" t="n">
        <v>0.000856</v>
      </c>
      <c r="P20" s="14" t="n">
        <v>0.00022</v>
      </c>
      <c r="Q20" s="14">
        <f>SUM(M20:P20)</f>
        <v/>
      </c>
    </row>
    <row r="21">
      <c r="A21" t="n">
        <v>20</v>
      </c>
      <c r="B21" t="inlineStr">
        <is>
          <t>INC-MUXY3UAX</t>
        </is>
      </c>
      <c r="C21" t="inlineStr">
        <is>
          <t>2026-10-07 10:09</t>
        </is>
      </c>
      <c r="D21" t="inlineStr">
        <is>
          <t>live-call</t>
        </is>
      </c>
      <c r="E21" t="inlineStr">
        <is>
          <t>high</t>
        </is>
      </c>
      <c r="F21" s="10" t="n">
        <v>34</v>
      </c>
      <c r="G21" s="10" t="n">
        <v>167259</v>
      </c>
      <c r="H21" s="10" t="n">
        <v>25552</v>
      </c>
      <c r="I21" s="10" t="n">
        <v>39382</v>
      </c>
      <c r="J21" s="10" t="n">
        <v>795</v>
      </c>
      <c r="K21" s="10" t="n">
        <v>1755</v>
      </c>
      <c r="L21" s="10">
        <f>SUM(G21:K21)</f>
        <v/>
      </c>
      <c r="M21" s="14" t="n">
        <v>0.295254</v>
      </c>
      <c r="N21" s="14" t="n">
        <v>0.004553</v>
      </c>
      <c r="O21" s="14" t="n">
        <v>0.000833</v>
      </c>
      <c r="P21" s="14" t="n">
        <v>0.000255</v>
      </c>
      <c r="Q21" s="14">
        <f>SUM(M21:P21)</f>
        <v/>
      </c>
    </row>
    <row r="22">
      <c r="A22" t="n">
        <v>21</v>
      </c>
      <c r="B22" t="inlineStr">
        <is>
          <t>INC-MUXYA94S</t>
        </is>
      </c>
      <c r="C22" t="inlineStr">
        <is>
          <t>2026-10-07 10:14</t>
        </is>
      </c>
      <c r="D22" t="inlineStr">
        <is>
          <t>live-call</t>
        </is>
      </c>
      <c r="E22" t="inlineStr">
        <is>
          <t>high</t>
        </is>
      </c>
      <c r="F22" s="10" t="n">
        <v>46</v>
      </c>
      <c r="G22" s="10" t="n">
        <v>207623</v>
      </c>
      <c r="H22" s="10" t="n">
        <v>42965</v>
      </c>
      <c r="I22" s="10" t="n">
        <v>37576</v>
      </c>
      <c r="J22" s="10" t="n">
        <v>709</v>
      </c>
      <c r="K22" s="10" t="n">
        <v>2681</v>
      </c>
      <c r="L22" s="10">
        <f>SUM(G22:K22)</f>
        <v/>
      </c>
      <c r="M22" s="14" t="n">
        <v>0.357167</v>
      </c>
      <c r="N22" s="14" t="n">
        <v>0.00675</v>
      </c>
      <c r="O22" s="14" t="n">
        <v>0.000884</v>
      </c>
      <c r="P22" s="14" t="n">
        <v>0.000275</v>
      </c>
      <c r="Q22" s="14">
        <f>SUM(M22:P22)</f>
        <v/>
      </c>
    </row>
    <row r="23">
      <c r="A23" t="n">
        <v>22</v>
      </c>
      <c r="B23" t="inlineStr">
        <is>
          <t>INC-MUXYIUG1</t>
        </is>
      </c>
      <c r="C23" t="inlineStr">
        <is>
          <t>2026-10-07 10:20</t>
        </is>
      </c>
      <c r="D23" t="inlineStr">
        <is>
          <t>live-call</t>
        </is>
      </c>
      <c r="E23" t="inlineStr">
        <is>
          <t>high</t>
        </is>
      </c>
      <c r="F23" s="10" t="n">
        <v>41</v>
      </c>
      <c r="G23" s="10" t="n">
        <v>184349</v>
      </c>
      <c r="H23" s="10" t="n">
        <v>35501</v>
      </c>
      <c r="I23" s="10" t="n">
        <v>69559</v>
      </c>
      <c r="J23" s="10" t="n">
        <v>1084</v>
      </c>
      <c r="K23" s="10" t="n">
        <v>2784</v>
      </c>
      <c r="L23" s="10">
        <f>SUM(G23:K23)</f>
        <v/>
      </c>
      <c r="M23" s="14" t="n">
        <v>0.420898</v>
      </c>
      <c r="N23" s="14" t="n">
        <v>0.006759</v>
      </c>
      <c r="O23" s="14" t="n">
        <v>0.000867</v>
      </c>
      <c r="P23" s="14" t="n">
        <v>0.000297</v>
      </c>
      <c r="Q23" s="14">
        <f>SUM(M23:P23)</f>
        <v/>
      </c>
    </row>
    <row r="24">
      <c r="A24" t="n">
        <v>23</v>
      </c>
      <c r="B24" t="inlineStr">
        <is>
          <t>INC-MUXYO7PZ</t>
        </is>
      </c>
      <c r="C24" t="inlineStr">
        <is>
          <t>2026-10-07 10:25</t>
        </is>
      </c>
      <c r="D24" t="inlineStr">
        <is>
          <t>live-call</t>
        </is>
      </c>
      <c r="E24" t="inlineStr">
        <is>
          <t>low</t>
        </is>
      </c>
      <c r="F24" s="10" t="n">
        <v>9</v>
      </c>
      <c r="G24" s="10" t="n">
        <v>17190</v>
      </c>
      <c r="H24" s="10" t="n">
        <v>635</v>
      </c>
      <c r="I24" s="10" t="n">
        <v>7700</v>
      </c>
      <c r="J24" s="10" t="n">
        <v>271</v>
      </c>
      <c r="K24" s="10" t="n">
        <v>571</v>
      </c>
      <c r="L24" s="10">
        <f>SUM(G24:K24)</f>
        <v/>
      </c>
      <c r="M24" s="14" t="n">
        <v>0.02475</v>
      </c>
      <c r="N24" s="14" t="n">
        <v>0.001862</v>
      </c>
      <c r="O24" s="14" t="n">
        <v>0.000646</v>
      </c>
      <c r="P24" s="14" t="n">
        <v>0</v>
      </c>
      <c r="Q24" s="14">
        <f>SUM(M24:P24)</f>
        <v/>
      </c>
    </row>
    <row r="25">
      <c r="A25" t="n">
        <v>24</v>
      </c>
      <c r="B25" t="inlineStr">
        <is>
          <t>INC-MUXZB4IH</t>
        </is>
      </c>
      <c r="C25" t="inlineStr">
        <is>
          <t>2026-10-07 10:42</t>
        </is>
      </c>
      <c r="D25" t="inlineStr">
        <is>
          <t>live-call</t>
        </is>
      </c>
      <c r="E25" t="inlineStr">
        <is>
          <t>low</t>
        </is>
      </c>
      <c r="F25" s="10" t="n">
        <v>8</v>
      </c>
      <c r="G25" s="10" t="n">
        <v>25057</v>
      </c>
      <c r="H25" s="10" t="n">
        <v>1243</v>
      </c>
      <c r="I25" s="10" t="n">
        <v>4788</v>
      </c>
      <c r="J25" s="10" t="n">
        <v>245</v>
      </c>
      <c r="K25" s="10" t="n">
        <v>573</v>
      </c>
      <c r="L25" s="10">
        <f>SUM(G25:K25)</f>
        <v/>
      </c>
      <c r="M25" s="14" t="n">
        <v>0.030266</v>
      </c>
      <c r="N25" s="14" t="n">
        <v>0.001215</v>
      </c>
      <c r="O25" s="14" t="n">
        <v>0.0007</v>
      </c>
      <c r="P25" s="14" t="n">
        <v>0</v>
      </c>
      <c r="Q25" s="14">
        <f>SUM(M25:P25)</f>
        <v/>
      </c>
    </row>
    <row r="26">
      <c r="A26" t="n">
        <v>25</v>
      </c>
      <c r="B26" t="inlineStr">
        <is>
          <t>INC-MUXZCJNC</t>
        </is>
      </c>
      <c r="C26" t="inlineStr">
        <is>
          <t>2026-10-07 10:43</t>
        </is>
      </c>
      <c r="D26" t="inlineStr">
        <is>
          <t>live-call</t>
        </is>
      </c>
      <c r="E26" t="inlineStr">
        <is>
          <t>low</t>
        </is>
      </c>
      <c r="F26" s="10" t="n">
        <v>3</v>
      </c>
      <c r="G26" s="10" t="n">
        <v>8491</v>
      </c>
      <c r="H26" s="10" t="n">
        <v>168</v>
      </c>
      <c r="I26" s="10" t="n">
        <v>1064</v>
      </c>
      <c r="J26" s="10" t="n">
        <v>211</v>
      </c>
      <c r="K26" s="10" t="n">
        <v>288</v>
      </c>
      <c r="L26" s="10">
        <f>SUM(G26:K26)</f>
        <v/>
      </c>
      <c r="M26" s="14" t="n">
        <v>0.009919000000000001</v>
      </c>
      <c r="N26" s="14" t="n">
        <v>0.000305</v>
      </c>
      <c r="O26" s="14" t="n">
        <v>0.000638</v>
      </c>
      <c r="P26" s="14" t="n">
        <v>0</v>
      </c>
      <c r="Q26" s="14">
        <f>SUM(M26:P26)</f>
        <v/>
      </c>
    </row>
    <row r="27">
      <c r="A27" t="n">
        <v>26</v>
      </c>
      <c r="B27" t="inlineStr">
        <is>
          <t>INC-MUXZF9XL</t>
        </is>
      </c>
      <c r="C27" t="inlineStr">
        <is>
          <t>2026-10-07 10:46</t>
        </is>
      </c>
      <c r="D27" t="inlineStr">
        <is>
          <t>live-call</t>
        </is>
      </c>
      <c r="E27" t="inlineStr">
        <is>
          <t>low</t>
        </is>
      </c>
      <c r="F27" s="10" t="n">
        <v>3</v>
      </c>
      <c r="G27" s="10" t="n">
        <v>8491</v>
      </c>
      <c r="H27" s="10" t="n">
        <v>168</v>
      </c>
      <c r="I27" s="10" t="n">
        <v>1064</v>
      </c>
      <c r="J27" s="10" t="n">
        <v>192</v>
      </c>
      <c r="K27" s="10" t="n">
        <v>292</v>
      </c>
      <c r="L27" s="10">
        <f>SUM(G27:K27)</f>
        <v/>
      </c>
      <c r="M27" s="14" t="n">
        <v>0.009967999999999999</v>
      </c>
      <c r="N27" s="14" t="n">
        <v>0.000305</v>
      </c>
      <c r="O27" s="14" t="n">
        <v>0.00059</v>
      </c>
      <c r="P27" s="14" t="n">
        <v>0</v>
      </c>
      <c r="Q27" s="14">
        <f>SUM(M27:P27)</f>
        <v/>
      </c>
    </row>
    <row r="28">
      <c r="A28" t="n">
        <v>27</v>
      </c>
      <c r="B28" t="inlineStr">
        <is>
          <t>INC-MUXZGQFW</t>
        </is>
      </c>
      <c r="C28" t="inlineStr">
        <is>
          <t>2026-10-07 10:47</t>
        </is>
      </c>
      <c r="D28" t="inlineStr">
        <is>
          <t>live-call</t>
        </is>
      </c>
      <c r="E28" t="inlineStr">
        <is>
          <t>low</t>
        </is>
      </c>
      <c r="F28" s="10" t="n">
        <v>4</v>
      </c>
      <c r="G28" s="10" t="n">
        <v>8594</v>
      </c>
      <c r="H28" s="10" t="n">
        <v>168</v>
      </c>
      <c r="I28" s="10" t="n">
        <v>2128</v>
      </c>
      <c r="J28" s="10" t="n">
        <v>222</v>
      </c>
      <c r="K28" s="10" t="n">
        <v>319</v>
      </c>
      <c r="L28" s="10">
        <f>SUM(G28:K28)</f>
        <v/>
      </c>
      <c r="M28" s="14" t="n">
        <v>0.010292</v>
      </c>
      <c r="N28" s="14" t="n">
        <v>0.000605</v>
      </c>
      <c r="O28" s="14" t="n">
        <v>0.000653</v>
      </c>
      <c r="P28" s="14" t="n">
        <v>0</v>
      </c>
      <c r="Q28" s="14">
        <f>SUM(M28:P28)</f>
        <v/>
      </c>
    </row>
    <row r="29">
      <c r="A29" t="n">
        <v>28</v>
      </c>
      <c r="B29" t="inlineStr">
        <is>
          <t>INC-MUXZKV5H</t>
        </is>
      </c>
      <c r="C29" t="inlineStr">
        <is>
          <t>2026-10-07 10:50</t>
        </is>
      </c>
      <c r="D29" t="inlineStr">
        <is>
          <t>live-call</t>
        </is>
      </c>
      <c r="E29" t="inlineStr">
        <is>
          <t>low</t>
        </is>
      </c>
      <c r="F29" s="10" t="n">
        <v>3</v>
      </c>
      <c r="G29" s="10" t="n">
        <v>8545</v>
      </c>
      <c r="H29" s="10" t="n">
        <v>168</v>
      </c>
      <c r="I29" s="10" t="n">
        <v>1064</v>
      </c>
      <c r="J29" s="10" t="n">
        <v>191</v>
      </c>
      <c r="K29" s="10" t="n">
        <v>274</v>
      </c>
      <c r="L29" s="10">
        <f>SUM(G29:K29)</f>
        <v/>
      </c>
      <c r="M29" s="14" t="n">
        <v>0.009750999999999999</v>
      </c>
      <c r="N29" s="14" t="n">
        <v>0.000299</v>
      </c>
      <c r="O29" s="14" t="n">
        <v>0.000614</v>
      </c>
      <c r="P29" s="14" t="n">
        <v>0</v>
      </c>
      <c r="Q29" s="14">
        <f>SUM(M29:P29)</f>
        <v/>
      </c>
    </row>
    <row r="30">
      <c r="A30" t="n">
        <v>29</v>
      </c>
      <c r="B30" t="inlineStr">
        <is>
          <t>INC-MUXZQ3AS</t>
        </is>
      </c>
      <c r="C30" t="inlineStr">
        <is>
          <t>2026-10-07 10:54</t>
        </is>
      </c>
      <c r="D30" t="inlineStr">
        <is>
          <t>live-call</t>
        </is>
      </c>
      <c r="E30" t="inlineStr">
        <is>
          <t>high</t>
        </is>
      </c>
      <c r="F30" s="10" t="n">
        <v>36</v>
      </c>
      <c r="G30" s="10" t="n">
        <v>169048</v>
      </c>
      <c r="H30" s="10" t="n">
        <v>31869</v>
      </c>
      <c r="I30" s="10" t="n">
        <v>114184</v>
      </c>
      <c r="J30" s="10" t="n">
        <v>708</v>
      </c>
      <c r="K30" s="10" t="n">
        <v>2079</v>
      </c>
      <c r="L30" s="10">
        <f>SUM(G30:K30)</f>
        <v/>
      </c>
      <c r="M30" s="14" t="n">
        <v>0.537198</v>
      </c>
      <c r="N30" s="14" t="n">
        <v>0.004997</v>
      </c>
      <c r="O30" s="14" t="n">
        <v>0.000828</v>
      </c>
      <c r="P30" s="14" t="n">
        <v>0.000302</v>
      </c>
      <c r="Q30" s="14">
        <f>SUM(M30:P30)</f>
        <v/>
      </c>
    </row>
    <row r="31">
      <c r="A31" t="n">
        <v>30</v>
      </c>
      <c r="B31" t="inlineStr">
        <is>
          <t>INC-MUXZYOI1</t>
        </is>
      </c>
      <c r="C31" t="inlineStr">
        <is>
          <t>2026-10-07 11:01</t>
        </is>
      </c>
      <c r="D31" t="inlineStr">
        <is>
          <t>live-call</t>
        </is>
      </c>
      <c r="E31" t="inlineStr">
        <is>
          <t>high</t>
        </is>
      </c>
      <c r="F31" s="10" t="n">
        <v>43</v>
      </c>
      <c r="G31" s="10" t="n">
        <v>192456</v>
      </c>
      <c r="H31" s="10" t="n">
        <v>38651</v>
      </c>
      <c r="I31" s="10" t="n">
        <v>177758</v>
      </c>
      <c r="J31" s="10" t="n">
        <v>1023</v>
      </c>
      <c r="K31" s="10" t="n">
        <v>2329</v>
      </c>
      <c r="L31" s="10">
        <f>SUM(G31:K31)</f>
        <v/>
      </c>
      <c r="M31" s="14" t="n">
        <v>0.752289</v>
      </c>
      <c r="N31" s="14" t="n">
        <v>0.006997</v>
      </c>
      <c r="O31" s="14" t="n">
        <v>0.000781</v>
      </c>
      <c r="P31" s="14" t="n">
        <v>0.00032</v>
      </c>
      <c r="Q31" s="14">
        <f>SUM(M31:P31)</f>
        <v/>
      </c>
    </row>
    <row r="32">
      <c r="A32" t="n">
        <v>31</v>
      </c>
      <c r="B32" t="inlineStr">
        <is>
          <t>INC-MUY7TD7N</t>
        </is>
      </c>
      <c r="C32" t="inlineStr">
        <is>
          <t>2026-10-07 14:40</t>
        </is>
      </c>
      <c r="D32" t="inlineStr">
        <is>
          <t>live-call</t>
        </is>
      </c>
      <c r="E32" t="inlineStr">
        <is>
          <t>low</t>
        </is>
      </c>
      <c r="F32" s="10" t="n">
        <v>3</v>
      </c>
      <c r="G32" s="10" t="n">
        <v>16414</v>
      </c>
      <c r="H32" s="10" t="n">
        <v>649</v>
      </c>
      <c r="I32" s="10" t="n">
        <v>0</v>
      </c>
      <c r="J32" s="10" t="n">
        <v>166</v>
      </c>
      <c r="K32" s="10" t="n">
        <v>459</v>
      </c>
      <c r="L32" s="10">
        <f>SUM(G32:K32)</f>
        <v/>
      </c>
      <c r="M32" s="14" t="n">
        <v>0.019472</v>
      </c>
      <c r="N32" s="14" t="n">
        <v>0</v>
      </c>
      <c r="O32" s="14" t="n">
        <v>0.000532</v>
      </c>
      <c r="P32" s="14" t="n">
        <v>0</v>
      </c>
      <c r="Q32" s="14">
        <f>SUM(M32:P32)</f>
        <v/>
      </c>
    </row>
    <row r="33">
      <c r="A33" t="n">
        <v>32</v>
      </c>
      <c r="B33" t="inlineStr">
        <is>
          <t>INC-MUY7YKUE</t>
        </is>
      </c>
      <c r="C33" t="inlineStr">
        <is>
          <t>2026-10-07 14:45</t>
        </is>
      </c>
      <c r="D33" t="inlineStr">
        <is>
          <t>live-call</t>
        </is>
      </c>
      <c r="E33" t="inlineStr">
        <is>
          <t>low</t>
        </is>
      </c>
      <c r="F33" s="10" t="n">
        <v>1</v>
      </c>
      <c r="G33" s="10" t="n">
        <v>7945</v>
      </c>
      <c r="H33" s="10" t="n">
        <v>168</v>
      </c>
      <c r="I33" s="10" t="n">
        <v>0</v>
      </c>
      <c r="J33" s="10" t="n">
        <v>0</v>
      </c>
      <c r="K33" s="10" t="n">
        <v>299</v>
      </c>
      <c r="L33" s="10">
        <f>SUM(G33:K33)</f>
        <v/>
      </c>
      <c r="M33" s="14" t="n">
        <v>0.010051</v>
      </c>
      <c r="N33" s="14" t="n">
        <v>0</v>
      </c>
      <c r="O33" s="14" t="n">
        <v>0</v>
      </c>
      <c r="P33" s="14" t="n">
        <v>0</v>
      </c>
      <c r="Q33" s="14">
        <f>SUM(M33:P33)</f>
        <v/>
      </c>
    </row>
    <row r="34">
      <c r="A34" t="n">
        <v>33</v>
      </c>
      <c r="B34" t="inlineStr">
        <is>
          <t>INC-MUY83MGZ</t>
        </is>
      </c>
      <c r="C34" t="inlineStr">
        <is>
          <t>2026-10-07 14:48</t>
        </is>
      </c>
      <c r="D34" t="inlineStr">
        <is>
          <t>live-call</t>
        </is>
      </c>
      <c r="E34" t="inlineStr">
        <is>
          <t>low</t>
        </is>
      </c>
      <c r="F34" s="10" t="n">
        <v>1</v>
      </c>
      <c r="G34" s="10" t="n">
        <v>391</v>
      </c>
      <c r="H34" s="10" t="n">
        <v>0</v>
      </c>
      <c r="I34" s="10" t="n">
        <v>0</v>
      </c>
      <c r="J34" s="10" t="n">
        <v>171</v>
      </c>
      <c r="K34" s="10" t="n">
        <v>0</v>
      </c>
      <c r="L34" s="10">
        <f>SUM(G34:K34)</f>
        <v/>
      </c>
      <c r="M34" s="14" t="n">
        <v>0</v>
      </c>
      <c r="N34" s="14" t="n">
        <v>0</v>
      </c>
      <c r="O34" s="14" t="n">
        <v>0.000545</v>
      </c>
      <c r="P34" s="14" t="n">
        <v>0</v>
      </c>
      <c r="Q34" s="14">
        <f>SUM(M34:P34)</f>
        <v/>
      </c>
    </row>
    <row r="35">
      <c r="A35" t="n">
        <v>34</v>
      </c>
      <c r="B35" t="inlineStr">
        <is>
          <t>INC-MUY85HCO</t>
        </is>
      </c>
      <c r="C35" t="inlineStr">
        <is>
          <t>2026-10-07 14:50</t>
        </is>
      </c>
      <c r="D35" t="inlineStr">
        <is>
          <t>live-call</t>
        </is>
      </c>
      <c r="E35" t="inlineStr">
        <is>
          <t>low</t>
        </is>
      </c>
      <c r="F35" s="10" t="n">
        <v>2</v>
      </c>
      <c r="G35" s="10" t="n">
        <v>8336</v>
      </c>
      <c r="H35" s="10" t="n">
        <v>168</v>
      </c>
      <c r="I35" s="10" t="n">
        <v>0</v>
      </c>
      <c r="J35" s="10" t="n">
        <v>176</v>
      </c>
      <c r="K35" s="10" t="n">
        <v>304</v>
      </c>
      <c r="L35" s="10">
        <f>SUM(G35:K35)</f>
        <v/>
      </c>
      <c r="M35" s="14" t="n">
        <v>0.010111</v>
      </c>
      <c r="N35" s="14" t="n">
        <v>0</v>
      </c>
      <c r="O35" s="14" t="n">
        <v>0.000557</v>
      </c>
      <c r="P35" s="14" t="n">
        <v>0</v>
      </c>
      <c r="Q35" s="14">
        <f>SUM(M35:P35)</f>
        <v/>
      </c>
    </row>
    <row r="36">
      <c r="A36" t="n">
        <v>35</v>
      </c>
      <c r="B36" t="inlineStr">
        <is>
          <t>INC-MUY86OLG</t>
        </is>
      </c>
      <c r="C36" t="inlineStr">
        <is>
          <t>2026-10-07 14:51</t>
        </is>
      </c>
      <c r="D36" t="inlineStr">
        <is>
          <t>live-call</t>
        </is>
      </c>
      <c r="E36" t="inlineStr">
        <is>
          <t>low</t>
        </is>
      </c>
      <c r="F36" s="10" t="n">
        <v>1</v>
      </c>
      <c r="G36" s="10" t="n">
        <v>391</v>
      </c>
      <c r="H36" s="10" t="n">
        <v>0</v>
      </c>
      <c r="I36" s="10" t="n">
        <v>0</v>
      </c>
      <c r="J36" s="10" t="n">
        <v>172</v>
      </c>
      <c r="K36" s="10" t="n">
        <v>0</v>
      </c>
      <c r="L36" s="10">
        <f>SUM(G36:K36)</f>
        <v/>
      </c>
      <c r="M36" s="14" t="n">
        <v>0</v>
      </c>
      <c r="N36" s="14" t="n">
        <v>0</v>
      </c>
      <c r="O36" s="14" t="n">
        <v>0.000547</v>
      </c>
      <c r="P36" s="14" t="n">
        <v>0</v>
      </c>
      <c r="Q36" s="14">
        <f>SUM(M36:P36)</f>
        <v/>
      </c>
    </row>
    <row r="37">
      <c r="A37" t="n">
        <v>36</v>
      </c>
      <c r="B37" t="inlineStr">
        <is>
          <t>INC-MUY89S6U</t>
        </is>
      </c>
      <c r="C37" t="inlineStr">
        <is>
          <t>2026-10-07 14:53</t>
        </is>
      </c>
      <c r="D37" t="inlineStr">
        <is>
          <t>live-call</t>
        </is>
      </c>
      <c r="E37" t="inlineStr">
        <is>
          <t>low</t>
        </is>
      </c>
      <c r="F37" s="10" t="n">
        <v>2</v>
      </c>
      <c r="G37" s="10" t="n">
        <v>8336</v>
      </c>
      <c r="H37" s="10" t="n">
        <v>168</v>
      </c>
      <c r="I37" s="10" t="n">
        <v>0</v>
      </c>
      <c r="J37" s="10" t="n">
        <v>176</v>
      </c>
      <c r="K37" s="10" t="n">
        <v>310</v>
      </c>
      <c r="L37" s="10">
        <f>SUM(G37:K37)</f>
        <v/>
      </c>
      <c r="M37" s="14" t="n">
        <v>0.010183</v>
      </c>
      <c r="N37" s="14" t="n">
        <v>0</v>
      </c>
      <c r="O37" s="14" t="n">
        <v>0.000557</v>
      </c>
      <c r="P37" s="14" t="n">
        <v>0</v>
      </c>
      <c r="Q37" s="14">
        <f>SUM(M37:P37)</f>
        <v/>
      </c>
    </row>
    <row r="38">
      <c r="A38" t="n">
        <v>37</v>
      </c>
      <c r="B38" t="inlineStr">
        <is>
          <t>INC-MUY8BDCF</t>
        </is>
      </c>
      <c r="C38" t="inlineStr">
        <is>
          <t>2026-10-07 14:54</t>
        </is>
      </c>
      <c r="D38" t="inlineStr">
        <is>
          <t>live-call</t>
        </is>
      </c>
      <c r="E38" t="inlineStr">
        <is>
          <t>high</t>
        </is>
      </c>
      <c r="F38" s="10" t="n">
        <v>7</v>
      </c>
      <c r="G38" s="10" t="n">
        <v>49740</v>
      </c>
      <c r="H38" s="10" t="n">
        <v>4148</v>
      </c>
      <c r="I38" s="10" t="n">
        <v>10010</v>
      </c>
      <c r="J38" s="10" t="n">
        <v>244</v>
      </c>
      <c r="K38" s="10" t="n">
        <v>1022</v>
      </c>
      <c r="L38" s="10">
        <f>SUM(G38:K38)</f>
        <v/>
      </c>
      <c r="M38" s="14" t="n">
        <v>0.091741</v>
      </c>
      <c r="N38" s="14" t="n">
        <v>0</v>
      </c>
      <c r="O38" s="14" t="n">
        <v>0.000708</v>
      </c>
      <c r="P38" s="14" t="n">
        <v>0</v>
      </c>
      <c r="Q38" s="14">
        <f>SUM(M38:P38)</f>
        <v/>
      </c>
    </row>
    <row r="39">
      <c r="A39" t="n">
        <v>38</v>
      </c>
      <c r="B39" t="inlineStr">
        <is>
          <t>INC-MUY8FGI3</t>
        </is>
      </c>
      <c r="C39" t="inlineStr">
        <is>
          <t>2026-10-07 14:58</t>
        </is>
      </c>
      <c r="D39" t="inlineStr">
        <is>
          <t>live-call</t>
        </is>
      </c>
      <c r="E39" t="inlineStr">
        <is>
          <t>low</t>
        </is>
      </c>
      <c r="F39" s="10" t="n">
        <v>4</v>
      </c>
      <c r="G39" s="10" t="n">
        <v>24763</v>
      </c>
      <c r="H39" s="10" t="n">
        <v>1523</v>
      </c>
      <c r="I39" s="10" t="n">
        <v>3164</v>
      </c>
      <c r="J39" s="10" t="n">
        <v>187</v>
      </c>
      <c r="K39" s="10" t="n">
        <v>901</v>
      </c>
      <c r="L39" s="10">
        <f>SUM(G39:K39)</f>
        <v/>
      </c>
      <c r="M39" s="14" t="n">
        <v>0.043034</v>
      </c>
      <c r="N39" s="14" t="n">
        <v>0</v>
      </c>
      <c r="O39" s="14" t="n">
        <v>0.000632</v>
      </c>
      <c r="P39" s="14" t="n">
        <v>0</v>
      </c>
      <c r="Q39" s="14">
        <f>SUM(M39:P39)</f>
        <v/>
      </c>
    </row>
    <row r="40">
      <c r="A40" t="n">
        <v>39</v>
      </c>
      <c r="B40" t="inlineStr">
        <is>
          <t>INC-MUZIAK8T</t>
        </is>
      </c>
      <c r="C40" t="inlineStr">
        <is>
          <t>2026-10-08 12:22</t>
        </is>
      </c>
      <c r="D40" t="inlineStr">
        <is>
          <t>live-call</t>
        </is>
      </c>
      <c r="E40" t="inlineStr">
        <is>
          <t>high</t>
        </is>
      </c>
      <c r="F40" s="10" t="n">
        <v>13</v>
      </c>
      <c r="G40" s="10" t="n">
        <v>33940</v>
      </c>
      <c r="H40" s="10" t="n">
        <v>2232</v>
      </c>
      <c r="I40" s="10" t="n">
        <v>9310</v>
      </c>
      <c r="J40" s="10" t="n">
        <v>281</v>
      </c>
      <c r="K40" s="10" t="n">
        <v>478</v>
      </c>
      <c r="L40" s="10">
        <f>SUM(G40:K40)</f>
        <v/>
      </c>
      <c r="M40" s="14" t="n">
        <v>0.039435</v>
      </c>
      <c r="N40" s="14" t="n">
        <v>0.002418</v>
      </c>
      <c r="O40" s="14" t="n">
        <v>0.000629</v>
      </c>
      <c r="P40" s="14" t="n">
        <v>0</v>
      </c>
      <c r="Q40" s="14">
        <f>SUM(M40:P40)</f>
        <v/>
      </c>
    </row>
    <row r="41">
      <c r="A41" t="n">
        <v>40</v>
      </c>
      <c r="B41" t="inlineStr">
        <is>
          <t>INC-MUZIJTGW</t>
        </is>
      </c>
      <c r="C41" t="inlineStr">
        <is>
          <t>2026-10-08 12:29</t>
        </is>
      </c>
      <c r="D41" t="inlineStr">
        <is>
          <t>live-call</t>
        </is>
      </c>
      <c r="E41" t="inlineStr">
        <is>
          <t>high</t>
        </is>
      </c>
      <c r="F41" s="10" t="n">
        <v>30</v>
      </c>
      <c r="G41" s="10" t="n">
        <v>137660</v>
      </c>
      <c r="H41" s="10" t="n">
        <v>16940</v>
      </c>
      <c r="I41" s="10" t="n">
        <v>19418</v>
      </c>
      <c r="J41" s="10" t="n">
        <v>605</v>
      </c>
      <c r="K41" s="10" t="n">
        <v>1347</v>
      </c>
      <c r="L41" s="10">
        <f>SUM(G41:K41)</f>
        <v/>
      </c>
      <c r="M41" s="14" t="n">
        <v>0.180037</v>
      </c>
      <c r="N41" s="14" t="n">
        <v>0.004555</v>
      </c>
      <c r="O41" s="14" t="n">
        <v>0.000789</v>
      </c>
      <c r="P41" s="14" t="n">
        <v>0</v>
      </c>
      <c r="Q41" s="14">
        <f>SUM(M41:P41)</f>
        <v/>
      </c>
    </row>
    <row r="42">
      <c r="A42" t="n">
        <v>41</v>
      </c>
      <c r="B42" t="inlineStr">
        <is>
          <t>INC-MUZIQHK8</t>
        </is>
      </c>
      <c r="C42" t="inlineStr">
        <is>
          <t>2026-10-08 12:34</t>
        </is>
      </c>
      <c r="D42" t="inlineStr">
        <is>
          <t>live-call</t>
        </is>
      </c>
      <c r="E42" t="inlineStr">
        <is>
          <t>high</t>
        </is>
      </c>
      <c r="F42" s="10" t="n">
        <v>46</v>
      </c>
      <c r="G42" s="10" t="n">
        <v>198164</v>
      </c>
      <c r="H42" s="10" t="n">
        <v>41357</v>
      </c>
      <c r="I42" s="10" t="n">
        <v>30590</v>
      </c>
      <c r="J42" s="10" t="n">
        <v>510</v>
      </c>
      <c r="K42" s="10" t="n">
        <v>2446</v>
      </c>
      <c r="L42" s="10">
        <f>SUM(G42:K42)</f>
        <v/>
      </c>
      <c r="M42" s="14" t="n">
        <v>0.314445</v>
      </c>
      <c r="N42" s="14" t="n">
        <v>0.00726</v>
      </c>
      <c r="O42" s="14" t="n">
        <v>0.000864</v>
      </c>
      <c r="P42" s="14" t="n">
        <v>0.000215</v>
      </c>
      <c r="Q42" s="14">
        <f>SUM(M42:P42)</f>
        <v/>
      </c>
    </row>
    <row r="43">
      <c r="A43" t="n">
        <v>42</v>
      </c>
      <c r="B43" t="inlineStr">
        <is>
          <t>INC-MUZJ14B7</t>
        </is>
      </c>
      <c r="C43" t="inlineStr">
        <is>
          <t>2026-10-08 12:42</t>
        </is>
      </c>
      <c r="D43" t="inlineStr">
        <is>
          <t>live-call</t>
        </is>
      </c>
      <c r="E43" t="inlineStr">
        <is>
          <t>high</t>
        </is>
      </c>
      <c r="F43" s="10" t="n">
        <v>40</v>
      </c>
      <c r="G43" s="10" t="n">
        <v>183896</v>
      </c>
      <c r="H43" s="10" t="n">
        <v>36756</v>
      </c>
      <c r="I43" s="10" t="n">
        <v>26866</v>
      </c>
      <c r="J43" s="10" t="n">
        <v>515</v>
      </c>
      <c r="K43" s="10" t="n">
        <v>2106</v>
      </c>
      <c r="L43" s="10">
        <f>SUM(G43:K43)</f>
        <v/>
      </c>
      <c r="M43" s="14" t="n">
        <v>0.285276</v>
      </c>
      <c r="N43" s="14" t="n">
        <v>0.00638</v>
      </c>
      <c r="O43" s="14" t="n">
        <v>0.000824</v>
      </c>
      <c r="P43" s="14" t="n">
        <v>0</v>
      </c>
      <c r="Q43" s="14">
        <f>SUM(M43:P43)</f>
        <v/>
      </c>
    </row>
    <row r="44">
      <c r="A44" t="n">
        <v>43</v>
      </c>
      <c r="B44" t="inlineStr">
        <is>
          <t>INC-MUZJD51U</t>
        </is>
      </c>
      <c r="C44" t="inlineStr">
        <is>
          <t>2026-10-08 12:52</t>
        </is>
      </c>
      <c r="D44" t="inlineStr">
        <is>
          <t>live-call</t>
        </is>
      </c>
      <c r="E44" t="inlineStr">
        <is>
          <t>low</t>
        </is>
      </c>
      <c r="F44" s="10" t="n">
        <v>3</v>
      </c>
      <c r="G44" s="10" t="n">
        <v>8491</v>
      </c>
      <c r="H44" s="10" t="n">
        <v>168</v>
      </c>
      <c r="I44" s="10" t="n">
        <v>1064</v>
      </c>
      <c r="J44" s="10" t="n">
        <v>200</v>
      </c>
      <c r="K44" s="10" t="n">
        <v>318</v>
      </c>
      <c r="L44" s="10">
        <f>SUM(G44:K44)</f>
        <v/>
      </c>
      <c r="M44" s="14" t="n">
        <v>0.01028</v>
      </c>
      <c r="N44" s="14" t="n">
        <v>0.000305</v>
      </c>
      <c r="O44" s="14" t="n">
        <v>0.00061</v>
      </c>
      <c r="P44" s="14" t="n">
        <v>0</v>
      </c>
      <c r="Q44" s="14">
        <f>SUM(M44:P44)</f>
        <v/>
      </c>
    </row>
    <row r="45">
      <c r="A45" t="n">
        <v>44</v>
      </c>
      <c r="B45" t="inlineStr">
        <is>
          <t>INC-MUZJEF44</t>
        </is>
      </c>
      <c r="C45" t="inlineStr">
        <is>
          <t>2026-10-08 12:53</t>
        </is>
      </c>
      <c r="D45" t="inlineStr">
        <is>
          <t>live-call</t>
        </is>
      </c>
      <c r="E45" t="inlineStr">
        <is>
          <t>low</t>
        </is>
      </c>
      <c r="F45" s="10" t="n">
        <v>4</v>
      </c>
      <c r="G45" s="10" t="n">
        <v>8593</v>
      </c>
      <c r="H45" s="10" t="n">
        <v>168</v>
      </c>
      <c r="I45" s="10" t="n">
        <v>2128</v>
      </c>
      <c r="J45" s="10" t="n">
        <v>208</v>
      </c>
      <c r="K45" s="10" t="n">
        <v>326</v>
      </c>
      <c r="L45" s="10">
        <f>SUM(G45:K45)</f>
        <v/>
      </c>
      <c r="M45" s="14" t="n">
        <v>0.010375</v>
      </c>
      <c r="N45" s="14" t="n">
        <v>0.000598</v>
      </c>
      <c r="O45" s="14" t="n">
        <v>0.000627</v>
      </c>
      <c r="P45" s="14" t="n">
        <v>0</v>
      </c>
      <c r="Q45" s="14">
        <f>SUM(M45:P45)</f>
        <v/>
      </c>
    </row>
    <row r="46">
      <c r="A46" t="n">
        <v>45</v>
      </c>
      <c r="B46" t="inlineStr">
        <is>
          <t>INC-MUZJFT5V</t>
        </is>
      </c>
      <c r="C46" t="inlineStr">
        <is>
          <t>2026-10-08 12:54</t>
        </is>
      </c>
      <c r="D46" t="inlineStr">
        <is>
          <t>live-call</t>
        </is>
      </c>
      <c r="E46" t="inlineStr">
        <is>
          <t>high</t>
        </is>
      </c>
      <c r="F46" s="10" t="n">
        <v>22</v>
      </c>
      <c r="G46" s="10" t="n">
        <v>101041</v>
      </c>
      <c r="H46" s="10" t="n">
        <v>11963</v>
      </c>
      <c r="I46" s="10" t="n">
        <v>13300</v>
      </c>
      <c r="J46" s="10" t="n">
        <v>286</v>
      </c>
      <c r="K46" s="10" t="n">
        <v>1342</v>
      </c>
      <c r="L46" s="10">
        <f>SUM(G46:K46)</f>
        <v/>
      </c>
      <c r="M46" s="14" t="n">
        <v>0.135345</v>
      </c>
      <c r="N46" s="14" t="n">
        <v>0.00304</v>
      </c>
      <c r="O46" s="14" t="n">
        <v>0</v>
      </c>
      <c r="P46" s="14" t="n">
        <v>0.000185</v>
      </c>
      <c r="Q46" s="14">
        <f>SUM(M46:P46)</f>
        <v/>
      </c>
    </row>
    <row r="47">
      <c r="A47" t="n">
        <v>46</v>
      </c>
      <c r="B47" t="inlineStr">
        <is>
          <t>INC-MUZKEE5I</t>
        </is>
      </c>
      <c r="C47" t="inlineStr">
        <is>
          <t>2026-10-08 13:21</t>
        </is>
      </c>
      <c r="D47" t="inlineStr">
        <is>
          <t>live-call</t>
        </is>
      </c>
      <c r="E47" t="inlineStr">
        <is>
          <t>high</t>
        </is>
      </c>
      <c r="F47" s="10" t="n">
        <v>13</v>
      </c>
      <c r="G47" s="10" t="n">
        <v>41927</v>
      </c>
      <c r="H47" s="10" t="n">
        <v>3844</v>
      </c>
      <c r="I47" s="10" t="n">
        <v>8512</v>
      </c>
      <c r="J47" s="10" t="n">
        <v>291</v>
      </c>
      <c r="K47" s="10" t="n">
        <v>944</v>
      </c>
      <c r="L47" s="10">
        <f>SUM(G47:K47)</f>
        <v/>
      </c>
      <c r="M47" s="14" t="n">
        <v>0.056677</v>
      </c>
      <c r="N47" s="14" t="n">
        <v>0.002131</v>
      </c>
      <c r="O47" s="14" t="n">
        <v>0.0006669999999999999</v>
      </c>
      <c r="P47" s="14" t="n">
        <v>0</v>
      </c>
      <c r="Q47" s="14">
        <f>SUM(M47:P47)</f>
        <v/>
      </c>
    </row>
    <row r="48">
      <c r="A48" t="n">
        <v>47</v>
      </c>
      <c r="B48" t="inlineStr">
        <is>
          <t>INC-MUZKG030</t>
        </is>
      </c>
      <c r="C48" t="inlineStr">
        <is>
          <t>2026-10-08 13:22</t>
        </is>
      </c>
      <c r="D48" t="inlineStr">
        <is>
          <t>live-call</t>
        </is>
      </c>
      <c r="E48" t="inlineStr">
        <is>
          <t>high</t>
        </is>
      </c>
      <c r="F48" s="10" t="n">
        <v>37</v>
      </c>
      <c r="G48" s="10" t="n">
        <v>155484</v>
      </c>
      <c r="H48" s="10" t="n">
        <v>27098</v>
      </c>
      <c r="I48" s="10" t="n">
        <v>25004</v>
      </c>
      <c r="J48" s="10" t="n">
        <v>513</v>
      </c>
      <c r="K48" s="10" t="n">
        <v>1960</v>
      </c>
      <c r="L48" s="10">
        <f>SUM(G48:K48)</f>
        <v/>
      </c>
      <c r="M48" s="14" t="n">
        <v>0.230342</v>
      </c>
      <c r="N48" s="14" t="n">
        <v>0.006057</v>
      </c>
      <c r="O48" s="14" t="n">
        <v>0.000802</v>
      </c>
      <c r="P48" s="14" t="n">
        <v>0.000239</v>
      </c>
      <c r="Q48" s="14">
        <f>SUM(M48:P48)</f>
        <v/>
      </c>
    </row>
    <row r="49">
      <c r="A49" t="n">
        <v>48</v>
      </c>
      <c r="B49" t="inlineStr">
        <is>
          <t>INC-MUZKKVL1</t>
        </is>
      </c>
      <c r="C49" t="inlineStr">
        <is>
          <t>2026-10-08 13:26</t>
        </is>
      </c>
      <c r="D49" t="inlineStr">
        <is>
          <t>live-call</t>
        </is>
      </c>
      <c r="E49" t="inlineStr">
        <is>
          <t>high</t>
        </is>
      </c>
      <c r="F49" s="10" t="n">
        <v>46</v>
      </c>
      <c r="G49" s="10" t="n">
        <v>206422</v>
      </c>
      <c r="H49" s="10" t="n">
        <v>43046</v>
      </c>
      <c r="I49" s="10" t="n">
        <v>29792</v>
      </c>
      <c r="J49" s="10" t="n">
        <v>538</v>
      </c>
      <c r="K49" s="10" t="n">
        <v>2330</v>
      </c>
      <c r="L49" s="10">
        <f>SUM(G49:K49)</f>
        <v/>
      </c>
      <c r="M49" s="14" t="n">
        <v>0.325588</v>
      </c>
      <c r="N49" s="14" t="n">
        <v>0.006955</v>
      </c>
      <c r="O49" s="14" t="n">
        <v>0.000755</v>
      </c>
      <c r="P49" s="14" t="n">
        <v>0.000213</v>
      </c>
      <c r="Q49" s="14">
        <f>SUM(M49:P49)</f>
        <v/>
      </c>
    </row>
    <row r="50">
      <c r="A50" t="n">
        <v>49</v>
      </c>
      <c r="B50" t="inlineStr">
        <is>
          <t>INC-MUZLE9J9</t>
        </is>
      </c>
      <c r="C50" t="inlineStr">
        <is>
          <t>2026-10-08 13:48</t>
        </is>
      </c>
      <c r="D50" t="inlineStr">
        <is>
          <t>live-call</t>
        </is>
      </c>
      <c r="E50" t="inlineStr">
        <is>
          <t>high</t>
        </is>
      </c>
      <c r="F50" s="10" t="n">
        <v>20</v>
      </c>
      <c r="G50" s="10" t="n">
        <v>79173</v>
      </c>
      <c r="H50" s="10" t="n">
        <v>9326</v>
      </c>
      <c r="I50" s="10" t="n">
        <v>11704</v>
      </c>
      <c r="J50" s="10" t="n">
        <v>394</v>
      </c>
      <c r="K50" s="10" t="n">
        <v>1254</v>
      </c>
      <c r="L50" s="10">
        <f>SUM(G50:K50)</f>
        <v/>
      </c>
      <c r="M50" s="14" t="n">
        <v>0.107468</v>
      </c>
      <c r="N50" s="14" t="n">
        <v>0.002711</v>
      </c>
      <c r="O50" s="14" t="n">
        <v>0.000786</v>
      </c>
      <c r="P50" s="14" t="n">
        <v>0.000194</v>
      </c>
      <c r="Q50" s="14">
        <f>SUM(M50:P50)</f>
        <v/>
      </c>
    </row>
    <row r="51">
      <c r="A51" t="n">
        <v>50</v>
      </c>
      <c r="B51" t="inlineStr">
        <is>
          <t>INC-MUZLX9ZI</t>
        </is>
      </c>
      <c r="C51" t="inlineStr">
        <is>
          <t>2026-10-08 14:03</t>
        </is>
      </c>
      <c r="D51" t="inlineStr">
        <is>
          <t>live-call</t>
        </is>
      </c>
      <c r="E51" t="inlineStr">
        <is>
          <t>high</t>
        </is>
      </c>
      <c r="F51" s="10" t="n">
        <v>36</v>
      </c>
      <c r="G51" s="10" t="n">
        <v>199920</v>
      </c>
      <c r="H51" s="10" t="n">
        <v>47059</v>
      </c>
      <c r="I51" s="10" t="n">
        <v>19152</v>
      </c>
      <c r="J51" s="10" t="n">
        <v>546</v>
      </c>
      <c r="K51" s="10" t="n">
        <v>2404</v>
      </c>
      <c r="L51" s="10">
        <f>SUM(G51:K51)</f>
        <v/>
      </c>
      <c r="M51" s="14" t="n">
        <v>0.334516</v>
      </c>
      <c r="N51" s="14" t="n">
        <v>0.003932</v>
      </c>
      <c r="O51" s="14" t="n">
        <v>0.00086</v>
      </c>
      <c r="P51" s="14" t="n">
        <v>0.000227</v>
      </c>
      <c r="Q51" s="14">
        <f>SUM(M51:P51)</f>
        <v/>
      </c>
    </row>
    <row r="52">
      <c r="A52" t="n">
        <v>51</v>
      </c>
      <c r="B52" t="inlineStr">
        <is>
          <t>INC-MUZMBPLA</t>
        </is>
      </c>
      <c r="C52" t="inlineStr">
        <is>
          <t>2026-10-08 14:14</t>
        </is>
      </c>
      <c r="D52" t="inlineStr">
        <is>
          <t>live-call</t>
        </is>
      </c>
      <c r="E52" t="inlineStr">
        <is>
          <t>high</t>
        </is>
      </c>
      <c r="F52" s="10" t="n">
        <v>33</v>
      </c>
      <c r="G52" s="10" t="n">
        <v>175803</v>
      </c>
      <c r="H52" s="10" t="n">
        <v>44061</v>
      </c>
      <c r="I52" s="10" t="n">
        <v>17556</v>
      </c>
      <c r="J52" s="10" t="n">
        <v>533</v>
      </c>
      <c r="K52" s="10" t="n">
        <v>2014</v>
      </c>
      <c r="L52" s="10">
        <f>SUM(G52:K52)</f>
        <v/>
      </c>
      <c r="M52" s="14" t="n">
        <v>0.301305</v>
      </c>
      <c r="N52" s="14" t="n">
        <v>0.003633</v>
      </c>
      <c r="O52" s="14" t="n">
        <v>0.000849</v>
      </c>
      <c r="P52" s="14" t="n">
        <v>0.000208</v>
      </c>
      <c r="Q52" s="14">
        <f>SUM(M52:P52)</f>
        <v/>
      </c>
    </row>
    <row r="53">
      <c r="A53" t="n">
        <v>52</v>
      </c>
      <c r="B53" t="inlineStr">
        <is>
          <t>INC-MUZMNPIN</t>
        </is>
      </c>
      <c r="C53" t="inlineStr">
        <is>
          <t>2026-10-08 14:24</t>
        </is>
      </c>
      <c r="D53" t="inlineStr">
        <is>
          <t>live-call</t>
        </is>
      </c>
      <c r="E53" t="inlineStr">
        <is>
          <t>high</t>
        </is>
      </c>
      <c r="F53" s="10" t="n">
        <v>29</v>
      </c>
      <c r="G53" s="10" t="n">
        <v>147493</v>
      </c>
      <c r="H53" s="10" t="n">
        <v>31350</v>
      </c>
      <c r="I53" s="10" t="n">
        <v>16758</v>
      </c>
      <c r="J53" s="10" t="n">
        <v>473</v>
      </c>
      <c r="K53" s="10" t="n">
        <v>2134</v>
      </c>
      <c r="L53" s="10">
        <f>SUM(G53:K53)</f>
        <v/>
      </c>
      <c r="M53" s="14" t="n">
        <v>0.241349</v>
      </c>
      <c r="N53" s="14" t="n">
        <v>0.003639</v>
      </c>
      <c r="O53" s="14" t="n">
        <v>0.000829</v>
      </c>
      <c r="P53" s="14" t="n">
        <v>0</v>
      </c>
      <c r="Q53" s="14">
        <f>SUM(M53:P53)</f>
        <v/>
      </c>
    </row>
    <row r="54">
      <c r="A54" t="n">
        <v>53</v>
      </c>
      <c r="B54" t="inlineStr">
        <is>
          <t>INC-MUZMS485</t>
        </is>
      </c>
      <c r="C54" t="inlineStr">
        <is>
          <t>2026-10-08 14:27</t>
        </is>
      </c>
      <c r="D54" t="inlineStr">
        <is>
          <t>live-call</t>
        </is>
      </c>
      <c r="E54" t="inlineStr">
        <is>
          <t>medium</t>
        </is>
      </c>
      <c r="F54" s="10" t="n">
        <v>8</v>
      </c>
      <c r="G54" s="10" t="n">
        <v>25134</v>
      </c>
      <c r="H54" s="10" t="n">
        <v>1312</v>
      </c>
      <c r="I54" s="10" t="n">
        <v>4788</v>
      </c>
      <c r="J54" s="10" t="n">
        <v>233</v>
      </c>
      <c r="K54" s="10" t="n">
        <v>820</v>
      </c>
      <c r="L54" s="10">
        <f>SUM(G54:K54)</f>
        <v/>
      </c>
      <c r="M54" s="14" t="n">
        <v>0.033452</v>
      </c>
      <c r="N54" s="14" t="n">
        <v>0.001215</v>
      </c>
      <c r="O54" s="14" t="n">
        <v>0.000687</v>
      </c>
      <c r="P54" s="14" t="n">
        <v>0</v>
      </c>
      <c r="Q54" s="14">
        <f>SUM(M54:P54)</f>
        <v/>
      </c>
    </row>
    <row r="55">
      <c r="A55" t="n">
        <v>54</v>
      </c>
      <c r="B55" t="inlineStr">
        <is>
          <t>INC-MUZMWAWU</t>
        </is>
      </c>
      <c r="C55" t="inlineStr">
        <is>
          <t>2026-10-08 14:30</t>
        </is>
      </c>
      <c r="D55" t="inlineStr">
        <is>
          <t>live-call</t>
        </is>
      </c>
      <c r="E55" t="inlineStr">
        <is>
          <t>high</t>
        </is>
      </c>
      <c r="F55" s="10" t="n">
        <v>22</v>
      </c>
      <c r="G55" s="10" t="n">
        <v>77650</v>
      </c>
      <c r="H55" s="10" t="n">
        <v>10617</v>
      </c>
      <c r="I55" s="10" t="n">
        <v>14896</v>
      </c>
      <c r="J55" s="10" t="n">
        <v>362</v>
      </c>
      <c r="K55" s="10" t="n">
        <v>1614</v>
      </c>
      <c r="L55" s="10">
        <f>SUM(G55:K55)</f>
        <v/>
      </c>
      <c r="M55" s="14" t="n">
        <v>0.114526</v>
      </c>
      <c r="N55" s="14" t="n">
        <v>0.003645</v>
      </c>
      <c r="O55" s="14" t="n">
        <v>0.000793</v>
      </c>
      <c r="P55" s="14" t="n">
        <v>0</v>
      </c>
      <c r="Q55" s="14">
        <f>SUM(M55:P55)</f>
        <v/>
      </c>
    </row>
    <row r="56">
      <c r="A56" t="n">
        <v>55</v>
      </c>
      <c r="B56" t="inlineStr">
        <is>
          <t>INC-MUZN0YYS</t>
        </is>
      </c>
      <c r="C56" t="inlineStr">
        <is>
          <t>2026-10-08 14:34</t>
        </is>
      </c>
      <c r="D56" t="inlineStr">
        <is>
          <t>live-call</t>
        </is>
      </c>
      <c r="E56" t="inlineStr">
        <is>
          <t>high</t>
        </is>
      </c>
      <c r="F56" s="10" t="n">
        <v>10</v>
      </c>
      <c r="G56" s="10" t="n">
        <v>49889</v>
      </c>
      <c r="H56" s="10" t="n">
        <v>3940</v>
      </c>
      <c r="I56" s="10" t="n">
        <v>4522</v>
      </c>
      <c r="J56" s="10" t="n">
        <v>278</v>
      </c>
      <c r="K56" s="10" t="n">
        <v>697</v>
      </c>
      <c r="L56" s="10">
        <f>SUM(G56:K56)</f>
        <v/>
      </c>
      <c r="M56" s="14" t="n">
        <v>0.061234</v>
      </c>
      <c r="N56" s="14" t="n">
        <v>0.000904</v>
      </c>
      <c r="O56" s="14" t="n">
        <v>0.000654</v>
      </c>
      <c r="P56" s="14" t="n">
        <v>0</v>
      </c>
      <c r="Q56" s="14">
        <f>SUM(M56:P56)</f>
        <v/>
      </c>
    </row>
    <row r="57">
      <c r="A57" t="n">
        <v>56</v>
      </c>
      <c r="B57" t="inlineStr">
        <is>
          <t>INC-MUZN75HS</t>
        </is>
      </c>
      <c r="C57" t="inlineStr">
        <is>
          <t>2026-10-08 14:39</t>
        </is>
      </c>
      <c r="D57" t="inlineStr">
        <is>
          <t>live-call</t>
        </is>
      </c>
      <c r="E57" t="inlineStr">
        <is>
          <t>high</t>
        </is>
      </c>
      <c r="F57" s="10" t="n">
        <v>26</v>
      </c>
      <c r="G57" s="10" t="n">
        <v>121357</v>
      </c>
      <c r="H57" s="10" t="n">
        <v>28749</v>
      </c>
      <c r="I57" s="10" t="n">
        <v>14896</v>
      </c>
      <c r="J57" s="10" t="n">
        <v>441</v>
      </c>
      <c r="K57" s="10" t="n">
        <v>2119</v>
      </c>
      <c r="L57" s="10">
        <f>SUM(G57:K57)</f>
        <v/>
      </c>
      <c r="M57" s="14" t="n">
        <v>0.210671</v>
      </c>
      <c r="N57" s="14" t="n">
        <v>0.003316</v>
      </c>
      <c r="O57" s="14" t="n">
        <v>0.0008229999999999999</v>
      </c>
      <c r="P57" s="14" t="n">
        <v>0.000248</v>
      </c>
      <c r="Q57" s="14">
        <f>SUM(M57:P57)</f>
        <v/>
      </c>
    </row>
    <row r="58">
      <c r="A58" t="n">
        <v>57</v>
      </c>
      <c r="B58" t="inlineStr">
        <is>
          <t>INC-MUZNEL3B</t>
        </is>
      </c>
      <c r="C58" t="inlineStr">
        <is>
          <t>2026-10-08 14:45</t>
        </is>
      </c>
      <c r="D58" t="inlineStr">
        <is>
          <t>live-call</t>
        </is>
      </c>
      <c r="E58" t="inlineStr">
        <is>
          <t>high</t>
        </is>
      </c>
      <c r="F58" s="10" t="n">
        <v>11</v>
      </c>
      <c r="G58" s="10" t="n">
        <v>42923</v>
      </c>
      <c r="H58" s="10" t="n">
        <v>3164</v>
      </c>
      <c r="I58" s="10" t="n">
        <v>6384</v>
      </c>
      <c r="J58" s="10" t="n">
        <v>265</v>
      </c>
      <c r="K58" s="10" t="n">
        <v>615</v>
      </c>
      <c r="L58" s="10">
        <f>SUM(G58:K58)</f>
        <v/>
      </c>
      <c r="M58" s="14" t="n">
        <v>0.05155</v>
      </c>
      <c r="N58" s="14" t="n">
        <v>0.001508</v>
      </c>
      <c r="O58" s="14" t="n">
        <v>0.000683</v>
      </c>
      <c r="P58" s="14" t="n">
        <v>0</v>
      </c>
      <c r="Q58" s="14">
        <f>SUM(M58:P58)</f>
        <v/>
      </c>
    </row>
    <row r="59">
      <c r="A59" t="n">
        <v>58</v>
      </c>
      <c r="B59" t="inlineStr">
        <is>
          <t>INC-MUZNJSIY</t>
        </is>
      </c>
      <c r="C59" t="inlineStr">
        <is>
          <t>2026-10-08 14:49</t>
        </is>
      </c>
      <c r="D59" t="inlineStr">
        <is>
          <t>live-call</t>
        </is>
      </c>
      <c r="E59" t="inlineStr">
        <is>
          <t>low</t>
        </is>
      </c>
      <c r="F59" s="10" t="n">
        <v>1</v>
      </c>
      <c r="G59" s="10" t="n">
        <v>391</v>
      </c>
      <c r="H59" s="10" t="n">
        <v>0</v>
      </c>
      <c r="I59" s="10" t="n">
        <v>0</v>
      </c>
      <c r="J59" s="10" t="n">
        <v>167</v>
      </c>
      <c r="K59" s="10" t="n">
        <v>0</v>
      </c>
      <c r="L59" s="10">
        <f>SUM(G59:K59)</f>
        <v/>
      </c>
      <c r="M59" s="14" t="n">
        <v>0</v>
      </c>
      <c r="N59" s="14" t="n">
        <v>0</v>
      </c>
      <c r="O59" s="14" t="n">
        <v>0.000535</v>
      </c>
      <c r="P59" s="14" t="n">
        <v>0</v>
      </c>
      <c r="Q59" s="14">
        <f>SUM(M59:P59)</f>
        <v/>
      </c>
    </row>
    <row r="60">
      <c r="A60" t="n">
        <v>59</v>
      </c>
      <c r="B60" t="inlineStr">
        <is>
          <t>INC-MUZNKM7N</t>
        </is>
      </c>
      <c r="C60" t="inlineStr">
        <is>
          <t>2026-10-08 14:49</t>
        </is>
      </c>
      <c r="D60" t="inlineStr">
        <is>
          <t>live-call</t>
        </is>
      </c>
      <c r="E60" t="inlineStr">
        <is>
          <t>high</t>
        </is>
      </c>
      <c r="F60" s="10" t="n">
        <v>31</v>
      </c>
      <c r="G60" s="10" t="n">
        <v>174945</v>
      </c>
      <c r="H60" s="10" t="n">
        <v>30185</v>
      </c>
      <c r="I60" s="10" t="n">
        <v>49427</v>
      </c>
      <c r="J60" s="10" t="n">
        <v>690</v>
      </c>
      <c r="K60" s="10" t="n">
        <v>1987</v>
      </c>
      <c r="L60" s="10">
        <f>SUM(G60:K60)</f>
        <v/>
      </c>
      <c r="M60" s="14" t="n">
        <v>0.357776</v>
      </c>
      <c r="N60" s="14" t="n">
        <v>0.003464</v>
      </c>
      <c r="O60" s="14" t="n">
        <v>0.000825</v>
      </c>
      <c r="P60" s="14" t="n">
        <v>0.00027</v>
      </c>
      <c r="Q60" s="14">
        <f>SUM(M60:P60)</f>
        <v/>
      </c>
    </row>
  </sheetData>
  <autoFilter ref="A1:Q60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6" t="inlineStr">
        <is>
          <t>Gemini paid-tier prices used (USD per 1M tokens), Oct 2026, from shared/aiModels.ts</t>
        </is>
      </c>
    </row>
    <row r="2">
      <c r="A2" s="7" t="inlineStr">
        <is>
          <t>Model</t>
        </is>
      </c>
      <c r="B2" s="7" t="inlineStr">
        <is>
          <t>Text in</t>
        </is>
      </c>
      <c r="C2" s="7" t="inlineStr">
        <is>
          <t>Audio in</t>
        </is>
      </c>
      <c r="D2" s="7" t="inlineStr">
        <is>
          <t>Camera in</t>
        </is>
      </c>
      <c r="E2" s="7" t="inlineStr">
        <is>
          <t>Text out</t>
        </is>
      </c>
      <c r="F2" s="7" t="inlineStr">
        <is>
          <t>Voice out</t>
        </is>
      </c>
    </row>
    <row r="3">
      <c r="A3" t="inlineStr">
        <is>
          <t>gemini-3.8-live</t>
        </is>
      </c>
      <c r="B3" t="n">
        <v>0.75</v>
      </c>
      <c r="C3" t="n">
        <v>3</v>
      </c>
      <c r="D3" t="n">
        <v>3</v>
      </c>
      <c r="E3" t="n">
        <v>4.5</v>
      </c>
      <c r="F3" t="n">
        <v>12</v>
      </c>
    </row>
    <row r="4">
      <c r="A4" t="inlineStr">
        <is>
          <t>gemini-3.8-live-extended-thinking</t>
        </is>
      </c>
      <c r="B4" t="n">
        <v>0.75</v>
      </c>
      <c r="C4" t="n">
        <v>3</v>
      </c>
      <c r="D4" t="n">
        <v>3</v>
      </c>
      <c r="E4" t="n">
        <v>4.5</v>
      </c>
      <c r="F4" t="n">
        <v>12</v>
      </c>
    </row>
    <row r="5">
      <c r="A5" t="inlineStr">
        <is>
          <t>gemini-3.5-flash-lite</t>
        </is>
      </c>
      <c r="B5" t="n">
        <v>0.3</v>
      </c>
      <c r="C5" t="n">
        <v>0.3</v>
      </c>
      <c r="D5" t="n">
        <v>0.3</v>
      </c>
      <c r="E5" t="n">
        <v>2.5</v>
      </c>
      <c r="F5" t="n">
        <v>2.5</v>
      </c>
    </row>
    <row r="6">
      <c r="A6" t="inlineStr">
        <is>
          <t>gemini-3.1-flash-lite</t>
        </is>
      </c>
      <c r="B6" t="n">
        <v>0.25</v>
      </c>
      <c r="C6" t="n">
        <v>0.5</v>
      </c>
      <c r="D6" t="n">
        <v>0.25</v>
      </c>
      <c r="E6" t="n">
        <v>1.5</v>
      </c>
      <c r="F6" t="n">
        <v>1.5</v>
      </c>
    </row>
    <row r="7">
      <c r="A7" t="inlineStr">
        <is>
          <t>gemma-4-31b-it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9">
      <c r="A9" s="2" t="inlineStr">
        <is>
          <t>Free-tier requests cost nothing; totals show what the same calls would cost on the paid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2026-10-09T07:22:52Z</dcterms:created>
  <dcterms:modified xmlns:dcterms="http://purl.org/dc/terms/" xmlns:xsi="http://www.w3.org/2001/XMLSchema-instance" xsi:type="dcterms:W3CDTF">2026-10-09T07:22:52Z</dcterms:modified>
</cp:coreProperties>
</file>